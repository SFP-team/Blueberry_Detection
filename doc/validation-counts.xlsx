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paul_adunola_ufl_edu/Documents/Manuscript/Berry Detection and Validation/doc/"/>
    </mc:Choice>
  </mc:AlternateContent>
  <xr:revisionPtr revIDLastSave="8" documentId="8_{61691AF6-080C-8143-99FB-8DB43808B5A6}" xr6:coauthVersionLast="47" xr6:coauthVersionMax="47" xr10:uidLastSave="{88B42E87-3A81-C146-93CB-30BB2153F07D}"/>
  <bookViews>
    <workbookView xWindow="4400" yWindow="4320" windowWidth="27640" windowHeight="16680" xr2:uid="{EF96174C-9A60-A74E-89BE-2B848B83B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</calcChain>
</file>

<file path=xl/sharedStrings.xml><?xml version="1.0" encoding="utf-8"?>
<sst xmlns="http://schemas.openxmlformats.org/spreadsheetml/2006/main" count="222" uniqueCount="194">
  <si>
    <t>Genotype</t>
  </si>
  <si>
    <t>id_w</t>
  </si>
  <si>
    <t>Immature</t>
  </si>
  <si>
    <t>Mature</t>
  </si>
  <si>
    <t>Total</t>
  </si>
  <si>
    <t>ID</t>
  </si>
  <si>
    <t>flower</t>
  </si>
  <si>
    <t>total_detections</t>
  </si>
  <si>
    <t>LDI Whole (%)</t>
  </si>
  <si>
    <t>LDI Bounded (%)</t>
  </si>
  <si>
    <t>LDI Hull/Solidity (%)</t>
  </si>
  <si>
    <t>Canopy Width (px)</t>
  </si>
  <si>
    <t>Canopy Height (px)</t>
  </si>
  <si>
    <t>Canopy Area (px^2)</t>
  </si>
  <si>
    <t>Canopy Perimeter (px)</t>
  </si>
  <si>
    <t>Convex Hull Area (px^2)</t>
  </si>
  <si>
    <t>Solidity</t>
  </si>
  <si>
    <t>Bounding Box Area (px^2)</t>
  </si>
  <si>
    <t>Width-Height Ratio</t>
  </si>
  <si>
    <t>Circularity</t>
  </si>
  <si>
    <t>Fractal Dimension</t>
  </si>
  <si>
    <t>Orientation</t>
  </si>
  <si>
    <t>Major Axis Length</t>
  </si>
  <si>
    <t>Minor Axis Length</t>
  </si>
  <si>
    <t>Mean GLI</t>
  </si>
  <si>
    <t>Mean VARI</t>
  </si>
  <si>
    <t>Mean Hue</t>
  </si>
  <si>
    <t>Std Dev Hue</t>
  </si>
  <si>
    <t>Mean Saturation</t>
  </si>
  <si>
    <t>Std Dev Saturation</t>
  </si>
  <si>
    <t>Mean Value</t>
  </si>
  <si>
    <t>Std Dev Value</t>
  </si>
  <si>
    <t>Yellow (%)</t>
  </si>
  <si>
    <t>Brown (%)</t>
  </si>
  <si>
    <t>Texture Contrast</t>
  </si>
  <si>
    <t>Texture Dissimilarity</t>
  </si>
  <si>
    <t>Texture Homogeneity</t>
  </si>
  <si>
    <t>Texture Energy</t>
  </si>
  <si>
    <t>Texture Correlation</t>
  </si>
  <si>
    <t>Texture ASM</t>
  </si>
  <si>
    <t>18-77</t>
  </si>
  <si>
    <t>W20100703</t>
  </si>
  <si>
    <t>W20100703_14</t>
  </si>
  <si>
    <t>18-164</t>
  </si>
  <si>
    <t>W20101006</t>
  </si>
  <si>
    <t>W20101006_14</t>
  </si>
  <si>
    <t>16-82</t>
  </si>
  <si>
    <t>W20101105</t>
  </si>
  <si>
    <t>W20101105_14</t>
  </si>
  <si>
    <t>18-11</t>
  </si>
  <si>
    <t>W20110607</t>
  </si>
  <si>
    <t>W20110607_14</t>
  </si>
  <si>
    <t>W20111302</t>
  </si>
  <si>
    <t>W20111302_14</t>
  </si>
  <si>
    <t>W20120705</t>
  </si>
  <si>
    <t>W20120705_14</t>
  </si>
  <si>
    <t>19-62</t>
  </si>
  <si>
    <t>W21121104</t>
  </si>
  <si>
    <t>W21121104_13</t>
  </si>
  <si>
    <t>19-9</t>
  </si>
  <si>
    <t>W21122002</t>
  </si>
  <si>
    <t>W21122002_13</t>
  </si>
  <si>
    <t>W21131302</t>
  </si>
  <si>
    <t>W21131302_13</t>
  </si>
  <si>
    <t>W21131702</t>
  </si>
  <si>
    <t>W21131702_13</t>
  </si>
  <si>
    <t>22-0508</t>
  </si>
  <si>
    <t>W22072805</t>
  </si>
  <si>
    <t>W22072805_17</t>
  </si>
  <si>
    <t>W22072806</t>
  </si>
  <si>
    <t>W22072806_17</t>
  </si>
  <si>
    <t>22-0515</t>
  </si>
  <si>
    <t>W22072905</t>
  </si>
  <si>
    <t>W22072905_17</t>
  </si>
  <si>
    <t>W22072907</t>
  </si>
  <si>
    <t>W22072907_17</t>
  </si>
  <si>
    <t>22-0601</t>
  </si>
  <si>
    <t>W22080302</t>
  </si>
  <si>
    <t>W22080302_17</t>
  </si>
  <si>
    <t>W22080304</t>
  </si>
  <si>
    <t>W22080304_17</t>
  </si>
  <si>
    <t>22-0606</t>
  </si>
  <si>
    <t>W22080401</t>
  </si>
  <si>
    <t>W22080401_17</t>
  </si>
  <si>
    <t>W22080404</t>
  </si>
  <si>
    <t>W22080404_17</t>
  </si>
  <si>
    <t>22-1083</t>
  </si>
  <si>
    <t>W22101004</t>
  </si>
  <si>
    <t>W22101004_17</t>
  </si>
  <si>
    <t>W22101006</t>
  </si>
  <si>
    <t>W22101006_17</t>
  </si>
  <si>
    <t>22-1298</t>
  </si>
  <si>
    <t>W22101201</t>
  </si>
  <si>
    <t>W22101201_17</t>
  </si>
  <si>
    <t>W22101207</t>
  </si>
  <si>
    <t>W22101207_17</t>
  </si>
  <si>
    <t>17-90</t>
  </si>
  <si>
    <t>W22101506</t>
  </si>
  <si>
    <t>W22101506_16</t>
  </si>
  <si>
    <t>17-124</t>
  </si>
  <si>
    <t>W22101609</t>
  </si>
  <si>
    <t>W22101609_16</t>
  </si>
  <si>
    <t>17-89</t>
  </si>
  <si>
    <t>W22101712</t>
  </si>
  <si>
    <t>W22101712_16</t>
  </si>
  <si>
    <t>18-170</t>
  </si>
  <si>
    <t>W22110202</t>
  </si>
  <si>
    <t>W22110202_16</t>
  </si>
  <si>
    <t>18-185</t>
  </si>
  <si>
    <t>W22110306</t>
  </si>
  <si>
    <t>W22110306_16</t>
  </si>
  <si>
    <t>18-62</t>
  </si>
  <si>
    <t>W22110406</t>
  </si>
  <si>
    <t>W22110406_16</t>
  </si>
  <si>
    <t>19-56</t>
  </si>
  <si>
    <t>W22110708</t>
  </si>
  <si>
    <t>W22110708_16</t>
  </si>
  <si>
    <t>19-61</t>
  </si>
  <si>
    <t>W22110905</t>
  </si>
  <si>
    <t>W22110905_16</t>
  </si>
  <si>
    <t>20-093</t>
  </si>
  <si>
    <t>W22111307</t>
  </si>
  <si>
    <t>W22111307_16</t>
  </si>
  <si>
    <t>20-022</t>
  </si>
  <si>
    <t>W22120307</t>
  </si>
  <si>
    <t>W22120307_17</t>
  </si>
  <si>
    <t>20-121</t>
  </si>
  <si>
    <t>W22120401</t>
  </si>
  <si>
    <t>W22120401_17</t>
  </si>
  <si>
    <t>W22120403</t>
  </si>
  <si>
    <t>W22120403_17</t>
  </si>
  <si>
    <t>W22120501</t>
  </si>
  <si>
    <t>W22120501_17</t>
  </si>
  <si>
    <t>W22120607</t>
  </si>
  <si>
    <t>W22120607_17</t>
  </si>
  <si>
    <t>W22120709</t>
  </si>
  <si>
    <t>W22120709_17</t>
  </si>
  <si>
    <t>W22121104</t>
  </si>
  <si>
    <t>W22121104_17</t>
  </si>
  <si>
    <t>W22121210</t>
  </si>
  <si>
    <t>W22121210_17</t>
  </si>
  <si>
    <t>W22121303</t>
  </si>
  <si>
    <t>W22121303_17</t>
  </si>
  <si>
    <t>W22130314</t>
  </si>
  <si>
    <t>W22130314_16</t>
  </si>
  <si>
    <t>W22130511</t>
  </si>
  <si>
    <t>W22130511_16</t>
  </si>
  <si>
    <t>W22130902</t>
  </si>
  <si>
    <t>W22130902_16</t>
  </si>
  <si>
    <t>20-094</t>
  </si>
  <si>
    <t>W22131004</t>
  </si>
  <si>
    <t>W22131004_17</t>
  </si>
  <si>
    <t>W22131301</t>
  </si>
  <si>
    <t>W22131301_17</t>
  </si>
  <si>
    <t>19-63</t>
  </si>
  <si>
    <t>W23011106</t>
  </si>
  <si>
    <t>W23011106_14</t>
  </si>
  <si>
    <t>W23011108</t>
  </si>
  <si>
    <t>W23011108_14</t>
  </si>
  <si>
    <t>21-923</t>
  </si>
  <si>
    <t>W23021108</t>
  </si>
  <si>
    <t>W23021108_14</t>
  </si>
  <si>
    <t>W23041207</t>
  </si>
  <si>
    <t>W23041207_14</t>
  </si>
  <si>
    <t>24-0214</t>
  </si>
  <si>
    <t>W24022702</t>
  </si>
  <si>
    <t>W24022702_15</t>
  </si>
  <si>
    <t>24-0215</t>
  </si>
  <si>
    <t>W24030104</t>
  </si>
  <si>
    <t>W24030104_15</t>
  </si>
  <si>
    <t>24-0395</t>
  </si>
  <si>
    <t>W24031604</t>
  </si>
  <si>
    <t>W24031604_15</t>
  </si>
  <si>
    <t>24-1024</t>
  </si>
  <si>
    <t>W24042701</t>
  </si>
  <si>
    <t>W24042701_14</t>
  </si>
  <si>
    <t>W24080701</t>
  </si>
  <si>
    <t>W24080701_15</t>
  </si>
  <si>
    <t>W24080803</t>
  </si>
  <si>
    <t>W24080803_15</t>
  </si>
  <si>
    <t>W24082303</t>
  </si>
  <si>
    <t>W24082303_15</t>
  </si>
  <si>
    <t>19-6</t>
  </si>
  <si>
    <t>W2420058</t>
  </si>
  <si>
    <t>W2420058_15</t>
  </si>
  <si>
    <t>W2420073</t>
  </si>
  <si>
    <t>W2420073_15</t>
  </si>
  <si>
    <t>Falcon</t>
  </si>
  <si>
    <t>W2423004</t>
  </si>
  <si>
    <t>W2423004_15</t>
  </si>
  <si>
    <t>W2423006</t>
  </si>
  <si>
    <t>W2423006_15</t>
  </si>
  <si>
    <t>berry.immature</t>
  </si>
  <si>
    <t>berry.mature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</si>
</sst>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E94B-FDAB-8246-88AF-91882A96E6DB}">
  <dimension ref="A1:AP61"/>
  <sheetViews>
    <sheetView tabSelected="1" topLeftCell="A32" workbookViewId="0">
      <selection activeCell="I9" sqref="I9"/>
    </sheetView>
  </sheetViews>
  <sheetFormatPr baseColWidth="10" defaultRowHeight="16" x14ac:dyDescent="0.2"/>
  <cols>
    <col min="2" max="2" width="13.6640625" bestFit="1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192</v>
      </c>
      <c r="H1" t="s">
        <v>193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2">
      <c r="A2" t="s">
        <v>40</v>
      </c>
      <c r="B2" t="s">
        <v>42</v>
      </c>
      <c r="C2">
        <v>2640</v>
      </c>
      <c r="D2">
        <v>268</v>
      </c>
      <c r="E2">
        <v>2908</v>
      </c>
      <c r="F2" t="s">
        <v>41</v>
      </c>
      <c r="G2">
        <v>639</v>
      </c>
      <c r="H2">
        <v>7</v>
      </c>
      <c r="I2">
        <v>0</v>
      </c>
      <c r="J2">
        <f>SUM(G2:I2)</f>
        <v>646</v>
      </c>
      <c r="K2">
        <v>23.730161760000001</v>
      </c>
      <c r="L2">
        <v>38.41885027</v>
      </c>
      <c r="M2">
        <v>46.241164400000002</v>
      </c>
      <c r="N2">
        <v>3456</v>
      </c>
      <c r="O2">
        <v>3202</v>
      </c>
      <c r="P2">
        <v>4251473</v>
      </c>
      <c r="Q2">
        <v>128479.0107</v>
      </c>
      <c r="R2">
        <v>9194130.5</v>
      </c>
      <c r="S2">
        <v>0.46241164400000001</v>
      </c>
      <c r="T2">
        <v>11066112</v>
      </c>
      <c r="U2">
        <v>1.0793254219999999</v>
      </c>
      <c r="V2">
        <v>3.2365689999999999E-3</v>
      </c>
      <c r="W2">
        <v>1.3598085200000001</v>
      </c>
      <c r="X2">
        <v>87.271043759999998</v>
      </c>
      <c r="Y2">
        <v>3553.5264470000002</v>
      </c>
      <c r="Z2">
        <v>2475.1073369999999</v>
      </c>
      <c r="AA2">
        <v>0.17290823</v>
      </c>
      <c r="AB2">
        <v>0.19064561999999999</v>
      </c>
      <c r="AC2">
        <v>50.351341050000002</v>
      </c>
      <c r="AD2">
        <v>12.13033553</v>
      </c>
      <c r="AE2">
        <v>97.730327349999996</v>
      </c>
      <c r="AF2">
        <v>38.577156649999999</v>
      </c>
      <c r="AG2">
        <v>116.5790624</v>
      </c>
      <c r="AH2">
        <v>39.006183550000003</v>
      </c>
      <c r="AI2">
        <v>18.963145239999999</v>
      </c>
      <c r="AJ2">
        <v>2.681424E-3</v>
      </c>
      <c r="AK2">
        <v>258.8231098</v>
      </c>
      <c r="AL2">
        <v>6.291752454</v>
      </c>
      <c r="AM2">
        <v>0.45270946200000001</v>
      </c>
      <c r="AN2">
        <v>0.30615362099999999</v>
      </c>
      <c r="AO2">
        <v>0.97705949700000005</v>
      </c>
      <c r="AP2">
        <v>9.3730538000000002E-2</v>
      </c>
    </row>
    <row r="3" spans="1:42" x14ac:dyDescent="0.2">
      <c r="A3" t="s">
        <v>43</v>
      </c>
      <c r="B3" t="s">
        <v>45</v>
      </c>
      <c r="C3">
        <v>2410</v>
      </c>
      <c r="D3">
        <v>96</v>
      </c>
      <c r="E3">
        <v>2501</v>
      </c>
      <c r="F3" t="s">
        <v>44</v>
      </c>
      <c r="G3">
        <v>377</v>
      </c>
      <c r="H3">
        <v>1</v>
      </c>
      <c r="I3">
        <v>0</v>
      </c>
      <c r="J3">
        <f t="shared" ref="J3:J61" si="0">SUM(G3:I3)</f>
        <v>378</v>
      </c>
      <c r="K3">
        <v>16.671695719999999</v>
      </c>
      <c r="L3">
        <v>28.72366615</v>
      </c>
      <c r="M3">
        <v>35.323466070000002</v>
      </c>
      <c r="N3">
        <v>2687</v>
      </c>
      <c r="O3">
        <v>3870</v>
      </c>
      <c r="P3">
        <v>2986885</v>
      </c>
      <c r="Q3">
        <v>201636.05910000001</v>
      </c>
      <c r="R3">
        <v>8455809.5</v>
      </c>
      <c r="S3">
        <v>0.35323466100000001</v>
      </c>
      <c r="T3">
        <v>10398690</v>
      </c>
      <c r="U3">
        <v>0.69431524499999997</v>
      </c>
      <c r="V3">
        <v>9.2319199999999998E-4</v>
      </c>
      <c r="W3">
        <v>1.452463174</v>
      </c>
      <c r="X3">
        <v>167.606694</v>
      </c>
      <c r="Y3">
        <v>3073.9171409999999</v>
      </c>
      <c r="Z3">
        <v>2730.6595929999999</v>
      </c>
      <c r="AA3">
        <v>0.14882745999999999</v>
      </c>
      <c r="AB3">
        <v>0.16221622999999999</v>
      </c>
      <c r="AC3">
        <v>49.507532089999998</v>
      </c>
      <c r="AD3">
        <v>11.94274075</v>
      </c>
      <c r="AE3">
        <v>87.477606269999995</v>
      </c>
      <c r="AF3">
        <v>35.224197699999998</v>
      </c>
      <c r="AG3">
        <v>107.76355940000001</v>
      </c>
      <c r="AH3">
        <v>32.091168060000001</v>
      </c>
      <c r="AI3">
        <v>21.33413238</v>
      </c>
      <c r="AJ3">
        <v>1.439627E-3</v>
      </c>
      <c r="AK3">
        <v>249.28287779999999</v>
      </c>
      <c r="AL3">
        <v>6.1228677420000004</v>
      </c>
      <c r="AM3">
        <v>0.44618377999999997</v>
      </c>
      <c r="AN3">
        <v>0.28721042099999999</v>
      </c>
      <c r="AO3">
        <v>0.97556401800000003</v>
      </c>
      <c r="AP3">
        <v>8.2490321000000005E-2</v>
      </c>
    </row>
    <row r="4" spans="1:42" x14ac:dyDescent="0.2">
      <c r="A4" t="s">
        <v>46</v>
      </c>
      <c r="B4" t="s">
        <v>48</v>
      </c>
      <c r="C4">
        <v>609</v>
      </c>
      <c r="D4">
        <v>296</v>
      </c>
      <c r="E4">
        <v>905</v>
      </c>
      <c r="F4" t="s">
        <v>47</v>
      </c>
      <c r="G4">
        <v>304</v>
      </c>
      <c r="H4">
        <v>19</v>
      </c>
      <c r="I4">
        <v>0</v>
      </c>
      <c r="J4">
        <f t="shared" si="0"/>
        <v>323</v>
      </c>
      <c r="K4">
        <v>30.249883010000001</v>
      </c>
      <c r="L4">
        <v>36.964289469999997</v>
      </c>
      <c r="M4">
        <v>44.967429240000001</v>
      </c>
      <c r="N4">
        <v>3428</v>
      </c>
      <c r="O4">
        <v>4277</v>
      </c>
      <c r="P4">
        <v>5419540</v>
      </c>
      <c r="Q4">
        <v>131485.753</v>
      </c>
      <c r="R4">
        <v>12052145.5</v>
      </c>
      <c r="S4">
        <v>0.44967429199999998</v>
      </c>
      <c r="T4">
        <v>14661556</v>
      </c>
      <c r="U4">
        <v>0.80149637600000001</v>
      </c>
      <c r="V4">
        <v>3.9392619999999998E-3</v>
      </c>
      <c r="W4">
        <v>1.341503983</v>
      </c>
      <c r="X4">
        <v>134.81304159999999</v>
      </c>
      <c r="Y4">
        <v>3527.4903509999999</v>
      </c>
      <c r="Z4">
        <v>2833.505298</v>
      </c>
      <c r="AA4">
        <v>0.20099805000000001</v>
      </c>
      <c r="AB4">
        <v>0.15755166000000001</v>
      </c>
      <c r="AC4">
        <v>43.373248099999998</v>
      </c>
      <c r="AD4">
        <v>6.5809282250000001</v>
      </c>
      <c r="AE4">
        <v>119.0289216</v>
      </c>
      <c r="AF4">
        <v>32.75638764</v>
      </c>
      <c r="AG4">
        <v>122.4378981</v>
      </c>
      <c r="AH4">
        <v>36.772026969999999</v>
      </c>
      <c r="AI4">
        <v>34.366477600000003</v>
      </c>
      <c r="AJ4">
        <v>1.273171E-3</v>
      </c>
      <c r="AK4">
        <v>185.54848000000001</v>
      </c>
      <c r="AL4">
        <v>4.5617897919999999</v>
      </c>
      <c r="AM4">
        <v>0.564543499</v>
      </c>
      <c r="AN4">
        <v>0.44190953399999999</v>
      </c>
      <c r="AO4">
        <v>0.98016314299999996</v>
      </c>
      <c r="AP4">
        <v>0.19528473099999999</v>
      </c>
    </row>
    <row r="5" spans="1:42" x14ac:dyDescent="0.2">
      <c r="A5" t="s">
        <v>49</v>
      </c>
      <c r="B5" t="s">
        <v>51</v>
      </c>
      <c r="C5">
        <v>2049</v>
      </c>
      <c r="D5">
        <v>140</v>
      </c>
      <c r="E5">
        <v>2189</v>
      </c>
      <c r="F5" t="s">
        <v>50</v>
      </c>
      <c r="G5">
        <v>445</v>
      </c>
      <c r="H5">
        <v>0</v>
      </c>
      <c r="I5">
        <v>0</v>
      </c>
      <c r="J5">
        <f t="shared" si="0"/>
        <v>445</v>
      </c>
      <c r="K5">
        <v>34.310788889999998</v>
      </c>
      <c r="L5">
        <v>34.310788889999998</v>
      </c>
      <c r="M5">
        <v>37.227127979999999</v>
      </c>
      <c r="N5">
        <v>3456</v>
      </c>
      <c r="O5">
        <v>5184</v>
      </c>
      <c r="P5">
        <v>6147088</v>
      </c>
      <c r="Q5">
        <v>410252.04759999999</v>
      </c>
      <c r="R5">
        <v>16512388.5</v>
      </c>
      <c r="S5">
        <v>0.37227127999999998</v>
      </c>
      <c r="T5">
        <v>17915904</v>
      </c>
      <c r="U5">
        <v>0.66666666699999999</v>
      </c>
      <c r="V5">
        <v>4.58963E-4</v>
      </c>
      <c r="W5">
        <v>1.476280681</v>
      </c>
      <c r="X5">
        <v>-170.62595239999999</v>
      </c>
      <c r="Y5">
        <v>5195.6342089999998</v>
      </c>
      <c r="Z5">
        <v>3627.8227910000001</v>
      </c>
      <c r="AA5">
        <v>0.20966794999999999</v>
      </c>
      <c r="AB5">
        <v>-0.18837428000000001</v>
      </c>
      <c r="AC5">
        <v>41.439053909999998</v>
      </c>
      <c r="AD5">
        <v>7.2606207920000001</v>
      </c>
      <c r="AE5">
        <v>129.42461940000001</v>
      </c>
      <c r="AF5">
        <v>42.293383249999998</v>
      </c>
      <c r="AG5">
        <v>122.2417143</v>
      </c>
      <c r="AH5">
        <v>45.994244530000003</v>
      </c>
      <c r="AI5">
        <v>55.075720410000002</v>
      </c>
      <c r="AJ5">
        <v>1.9684120000000001E-3</v>
      </c>
      <c r="AK5">
        <v>362.53435630000001</v>
      </c>
      <c r="AL5">
        <v>7.6618579469999997</v>
      </c>
      <c r="AM5">
        <v>0.44586016899999997</v>
      </c>
      <c r="AN5">
        <v>0.30441884000000002</v>
      </c>
      <c r="AO5">
        <v>0.96722634299999999</v>
      </c>
      <c r="AP5">
        <v>9.2671858999999995E-2</v>
      </c>
    </row>
    <row r="6" spans="1:42" x14ac:dyDescent="0.2">
      <c r="A6" t="s">
        <v>40</v>
      </c>
      <c r="B6" t="s">
        <v>53</v>
      </c>
      <c r="C6">
        <v>2669</v>
      </c>
      <c r="D6">
        <v>200</v>
      </c>
      <c r="E6">
        <v>2869</v>
      </c>
      <c r="F6" t="s">
        <v>52</v>
      </c>
      <c r="G6">
        <v>316</v>
      </c>
      <c r="H6">
        <v>0</v>
      </c>
      <c r="I6">
        <v>0</v>
      </c>
      <c r="J6">
        <f t="shared" si="0"/>
        <v>316</v>
      </c>
      <c r="K6">
        <v>38.853054810000003</v>
      </c>
      <c r="L6">
        <v>48.615553009999999</v>
      </c>
      <c r="M6">
        <v>57.283673540000002</v>
      </c>
      <c r="N6">
        <v>3456</v>
      </c>
      <c r="O6">
        <v>4143</v>
      </c>
      <c r="P6">
        <v>6960876</v>
      </c>
      <c r="Q6">
        <v>124417.1713</v>
      </c>
      <c r="R6">
        <v>12151588</v>
      </c>
      <c r="S6">
        <v>0.57283673499999999</v>
      </c>
      <c r="T6">
        <v>14318208</v>
      </c>
      <c r="U6">
        <v>0.83417813200000002</v>
      </c>
      <c r="V6">
        <v>5.6508410000000002E-3</v>
      </c>
      <c r="W6">
        <v>1.3131787269999999</v>
      </c>
      <c r="X6">
        <v>103.0933308</v>
      </c>
      <c r="Y6">
        <v>3879.192669</v>
      </c>
      <c r="Z6">
        <v>3219.5389919999998</v>
      </c>
      <c r="AA6">
        <v>0.22541439999999999</v>
      </c>
      <c r="AB6">
        <v>23.014675</v>
      </c>
      <c r="AC6">
        <v>44.070744400000002</v>
      </c>
      <c r="AD6">
        <v>8.1342774759999994</v>
      </c>
      <c r="AE6">
        <v>130.28447890000001</v>
      </c>
      <c r="AF6">
        <v>44.037034579999997</v>
      </c>
      <c r="AG6">
        <v>135.81185339999999</v>
      </c>
      <c r="AH6">
        <v>54.219284209999998</v>
      </c>
      <c r="AI6">
        <v>36.357808990000002</v>
      </c>
      <c r="AJ6">
        <v>7.0393400000000003E-4</v>
      </c>
      <c r="AK6">
        <v>315.54180550000001</v>
      </c>
      <c r="AL6">
        <v>7.3142919849999997</v>
      </c>
      <c r="AM6">
        <v>0.42626771000000002</v>
      </c>
      <c r="AN6">
        <v>0.29282191000000002</v>
      </c>
      <c r="AO6">
        <v>0.97211263199999998</v>
      </c>
      <c r="AP6">
        <v>8.5745066999999994E-2</v>
      </c>
    </row>
    <row r="7" spans="1:42" x14ac:dyDescent="0.2">
      <c r="A7" t="s">
        <v>46</v>
      </c>
      <c r="B7" t="s">
        <v>55</v>
      </c>
      <c r="C7">
        <v>1531</v>
      </c>
      <c r="D7">
        <v>530</v>
      </c>
      <c r="E7">
        <v>2061</v>
      </c>
      <c r="F7" t="s">
        <v>54</v>
      </c>
      <c r="G7">
        <v>243</v>
      </c>
      <c r="H7">
        <v>11</v>
      </c>
      <c r="I7">
        <v>0</v>
      </c>
      <c r="J7">
        <f t="shared" si="0"/>
        <v>254</v>
      </c>
      <c r="K7">
        <v>21.948454290000001</v>
      </c>
      <c r="L7">
        <v>26.295536640000002</v>
      </c>
      <c r="M7">
        <v>35.139547450000002</v>
      </c>
      <c r="N7">
        <v>3456</v>
      </c>
      <c r="O7">
        <v>4327</v>
      </c>
      <c r="P7">
        <v>3932264</v>
      </c>
      <c r="Q7">
        <v>229229.492</v>
      </c>
      <c r="R7">
        <v>11190423</v>
      </c>
      <c r="S7">
        <v>0.35139547500000001</v>
      </c>
      <c r="T7">
        <v>14954112</v>
      </c>
      <c r="U7">
        <v>0.79870580099999999</v>
      </c>
      <c r="V7">
        <v>9.4039799999999995E-4</v>
      </c>
      <c r="W7">
        <v>1.4430533210000001</v>
      </c>
      <c r="X7">
        <v>80.477543260000004</v>
      </c>
      <c r="Y7">
        <v>3881.5227570000002</v>
      </c>
      <c r="Z7">
        <v>2547.3743129999998</v>
      </c>
      <c r="AA7">
        <v>0.20575334000000001</v>
      </c>
      <c r="AB7">
        <v>11.33738</v>
      </c>
      <c r="AC7">
        <v>42.351825310000002</v>
      </c>
      <c r="AD7">
        <v>7.0163402110000002</v>
      </c>
      <c r="AE7">
        <v>124.8525636</v>
      </c>
      <c r="AF7">
        <v>35.106286599999997</v>
      </c>
      <c r="AG7">
        <v>109.5069733</v>
      </c>
      <c r="AH7">
        <v>41.852620770000001</v>
      </c>
      <c r="AI7">
        <v>45.094073029999997</v>
      </c>
      <c r="AJ7">
        <v>1.322393E-3</v>
      </c>
      <c r="AK7">
        <v>222.04341959999999</v>
      </c>
      <c r="AL7">
        <v>5.124573431</v>
      </c>
      <c r="AM7">
        <v>0.54650770900000001</v>
      </c>
      <c r="AN7">
        <v>0.419881271</v>
      </c>
      <c r="AO7">
        <v>0.97591207599999996</v>
      </c>
      <c r="AP7">
        <v>0.17630073700000001</v>
      </c>
    </row>
    <row r="8" spans="1:42" x14ac:dyDescent="0.2">
      <c r="A8" t="s">
        <v>56</v>
      </c>
      <c r="B8" t="s">
        <v>58</v>
      </c>
      <c r="C8">
        <v>1853</v>
      </c>
      <c r="D8">
        <v>114</v>
      </c>
      <c r="E8">
        <v>1967</v>
      </c>
      <c r="F8" t="s">
        <v>57</v>
      </c>
      <c r="G8">
        <v>527</v>
      </c>
      <c r="H8">
        <v>2</v>
      </c>
      <c r="I8">
        <v>0</v>
      </c>
      <c r="J8">
        <f t="shared" si="0"/>
        <v>529</v>
      </c>
      <c r="K8">
        <v>19.006364399999999</v>
      </c>
      <c r="L8">
        <v>25.476652600000001</v>
      </c>
      <c r="M8">
        <v>34.582037560000003</v>
      </c>
      <c r="N8">
        <v>3206</v>
      </c>
      <c r="O8">
        <v>4169</v>
      </c>
      <c r="P8">
        <v>3405162</v>
      </c>
      <c r="Q8">
        <v>205354.09479999999</v>
      </c>
      <c r="R8">
        <v>9846620.5</v>
      </c>
      <c r="S8">
        <v>0.34582037599999998</v>
      </c>
      <c r="T8">
        <v>13365814</v>
      </c>
      <c r="U8">
        <v>0.76900935500000001</v>
      </c>
      <c r="V8">
        <v>1.014708E-3</v>
      </c>
      <c r="W8">
        <v>1.4422363810000001</v>
      </c>
      <c r="X8">
        <v>61.511257039999997</v>
      </c>
      <c r="Y8">
        <v>3516.8742189999998</v>
      </c>
      <c r="Z8">
        <v>2438.2051940000001</v>
      </c>
      <c r="AA8">
        <v>0.19819419999999999</v>
      </c>
      <c r="AB8">
        <v>0.16094206</v>
      </c>
      <c r="AC8">
        <v>44.217613729999997</v>
      </c>
      <c r="AD8">
        <v>7.6955304880000002</v>
      </c>
      <c r="AE8">
        <v>116.0209503</v>
      </c>
      <c r="AF8">
        <v>39.726122080000003</v>
      </c>
      <c r="AG8">
        <v>93.598920989999996</v>
      </c>
      <c r="AH8">
        <v>28.897441400000002</v>
      </c>
      <c r="AI8">
        <v>31.517178919999999</v>
      </c>
      <c r="AJ8">
        <v>2.848616E-3</v>
      </c>
      <c r="AK8">
        <v>233.98319810000001</v>
      </c>
      <c r="AL8">
        <v>5.281234349</v>
      </c>
      <c r="AM8">
        <v>0.55069806799999999</v>
      </c>
      <c r="AN8">
        <v>0.431975567</v>
      </c>
      <c r="AO8">
        <v>0.97243264100000004</v>
      </c>
      <c r="AP8">
        <v>0.186603307</v>
      </c>
    </row>
    <row r="9" spans="1:42" x14ac:dyDescent="0.2">
      <c r="A9" t="s">
        <v>59</v>
      </c>
      <c r="B9" t="s">
        <v>61</v>
      </c>
      <c r="C9">
        <v>740</v>
      </c>
      <c r="D9">
        <v>33</v>
      </c>
      <c r="E9">
        <v>773</v>
      </c>
      <c r="F9" t="s">
        <v>60</v>
      </c>
      <c r="G9">
        <v>257</v>
      </c>
      <c r="H9">
        <v>1</v>
      </c>
      <c r="I9">
        <v>0</v>
      </c>
      <c r="J9">
        <f t="shared" si="0"/>
        <v>258</v>
      </c>
      <c r="K9">
        <v>17.199673539999999</v>
      </c>
      <c r="L9">
        <v>23.294547099999999</v>
      </c>
      <c r="M9">
        <v>29.22633617</v>
      </c>
      <c r="N9">
        <v>3251</v>
      </c>
      <c r="O9">
        <v>4069</v>
      </c>
      <c r="P9">
        <v>3081477</v>
      </c>
      <c r="Q9">
        <v>230637.3492</v>
      </c>
      <c r="R9">
        <v>10543494</v>
      </c>
      <c r="S9">
        <v>0.29226336200000003</v>
      </c>
      <c r="T9">
        <v>13228319</v>
      </c>
      <c r="U9">
        <v>0.79896780499999998</v>
      </c>
      <c r="V9">
        <v>7.2796299999999998E-4</v>
      </c>
      <c r="W9">
        <v>1.4674207189999999</v>
      </c>
      <c r="X9">
        <v>81.26392826</v>
      </c>
      <c r="Y9">
        <v>3236.4028979999998</v>
      </c>
      <c r="Z9">
        <v>2964.595018</v>
      </c>
      <c r="AA9">
        <v>0.18976022000000001</v>
      </c>
      <c r="AB9">
        <v>9.5475560000000002</v>
      </c>
      <c r="AC9">
        <v>42.082102190000001</v>
      </c>
      <c r="AD9">
        <v>6.2474109169999998</v>
      </c>
      <c r="AE9">
        <v>116.7996428</v>
      </c>
      <c r="AF9">
        <v>36.782858220000001</v>
      </c>
      <c r="AG9">
        <v>82.137822540000002</v>
      </c>
      <c r="AH9">
        <v>24.162983539999999</v>
      </c>
      <c r="AI9">
        <v>45.570971319999998</v>
      </c>
      <c r="AJ9">
        <v>3.2452000000000002E-4</v>
      </c>
      <c r="AK9">
        <v>170.36325120000001</v>
      </c>
      <c r="AL9">
        <v>4.216660933</v>
      </c>
      <c r="AM9">
        <v>0.53928010000000004</v>
      </c>
      <c r="AN9">
        <v>0.37948269499999998</v>
      </c>
      <c r="AO9">
        <v>0.974496959</v>
      </c>
      <c r="AP9">
        <v>0.14400745700000001</v>
      </c>
    </row>
    <row r="10" spans="1:42" x14ac:dyDescent="0.2">
      <c r="A10" t="s">
        <v>56</v>
      </c>
      <c r="B10" t="s">
        <v>63</v>
      </c>
      <c r="C10">
        <v>1943</v>
      </c>
      <c r="D10">
        <v>125</v>
      </c>
      <c r="E10">
        <v>2068</v>
      </c>
      <c r="F10" t="s">
        <v>62</v>
      </c>
      <c r="G10">
        <v>313</v>
      </c>
      <c r="H10">
        <v>5</v>
      </c>
      <c r="I10">
        <v>0</v>
      </c>
      <c r="J10">
        <f t="shared" si="0"/>
        <v>318</v>
      </c>
      <c r="K10">
        <v>15.234587100000001</v>
      </c>
      <c r="L10">
        <v>27.307203770000001</v>
      </c>
      <c r="M10">
        <v>38.897801520000002</v>
      </c>
      <c r="N10">
        <v>2684</v>
      </c>
      <c r="O10">
        <v>3724</v>
      </c>
      <c r="P10">
        <v>2729414</v>
      </c>
      <c r="Q10">
        <v>135938.20680000001</v>
      </c>
      <c r="R10">
        <v>7016885</v>
      </c>
      <c r="S10">
        <v>0.38897801500000001</v>
      </c>
      <c r="T10">
        <v>9995216</v>
      </c>
      <c r="U10">
        <v>0.72073039699999997</v>
      </c>
      <c r="V10">
        <v>1.8560779999999999E-3</v>
      </c>
      <c r="W10">
        <v>1.4080897059999999</v>
      </c>
      <c r="X10">
        <v>150.79968170000001</v>
      </c>
      <c r="Y10">
        <v>3279.2049270000002</v>
      </c>
      <c r="Z10">
        <v>2116.2462770000002</v>
      </c>
      <c r="AA10">
        <v>0.20602477999999999</v>
      </c>
      <c r="AB10">
        <v>1.2618908</v>
      </c>
      <c r="AC10">
        <v>43.759747330000003</v>
      </c>
      <c r="AD10">
        <v>6.7472034379999997</v>
      </c>
      <c r="AE10">
        <v>120.10215049999999</v>
      </c>
      <c r="AF10">
        <v>37.583868379999998</v>
      </c>
      <c r="AG10">
        <v>106.0070151</v>
      </c>
      <c r="AH10">
        <v>32.407544909999999</v>
      </c>
      <c r="AI10">
        <v>31.68310121</v>
      </c>
      <c r="AJ10">
        <v>1.538792E-3</v>
      </c>
      <c r="AK10">
        <v>167.97076190000001</v>
      </c>
      <c r="AL10">
        <v>4.6591794799999997</v>
      </c>
      <c r="AM10">
        <v>0.55065955700000002</v>
      </c>
      <c r="AN10">
        <v>0.43541221000000002</v>
      </c>
      <c r="AO10">
        <v>0.97988742200000001</v>
      </c>
      <c r="AP10">
        <v>0.189584169</v>
      </c>
    </row>
    <row r="11" spans="1:42" x14ac:dyDescent="0.2">
      <c r="A11" t="s">
        <v>59</v>
      </c>
      <c r="B11" t="s">
        <v>65</v>
      </c>
      <c r="C11">
        <v>1492</v>
      </c>
      <c r="D11">
        <v>68</v>
      </c>
      <c r="E11">
        <v>1560</v>
      </c>
      <c r="F11" t="s">
        <v>64</v>
      </c>
      <c r="G11">
        <v>340</v>
      </c>
      <c r="H11">
        <v>0</v>
      </c>
      <c r="I11">
        <v>0</v>
      </c>
      <c r="J11">
        <f t="shared" si="0"/>
        <v>340</v>
      </c>
      <c r="K11">
        <v>19.565616110000001</v>
      </c>
      <c r="L11">
        <v>26.740666820000001</v>
      </c>
      <c r="M11">
        <v>35.141293210000001</v>
      </c>
      <c r="N11">
        <v>2984</v>
      </c>
      <c r="O11">
        <v>4393</v>
      </c>
      <c r="P11">
        <v>3505357</v>
      </c>
      <c r="Q11">
        <v>202360.0674</v>
      </c>
      <c r="R11">
        <v>9975037</v>
      </c>
      <c r="S11">
        <v>0.35141293200000001</v>
      </c>
      <c r="T11">
        <v>13108712</v>
      </c>
      <c r="U11">
        <v>0.67926246300000004</v>
      </c>
      <c r="V11">
        <v>1.0757029999999999E-3</v>
      </c>
      <c r="W11">
        <v>1.43751177</v>
      </c>
      <c r="X11">
        <v>-139.90725449999999</v>
      </c>
      <c r="Y11">
        <v>3336.1470939999999</v>
      </c>
      <c r="Z11">
        <v>2813.3442030000001</v>
      </c>
      <c r="AA11">
        <v>0.19864443000000001</v>
      </c>
      <c r="AB11">
        <v>0.14009153999999999</v>
      </c>
      <c r="AC11">
        <v>41.914001630000001</v>
      </c>
      <c r="AD11">
        <v>6.2423277710000002</v>
      </c>
      <c r="AE11">
        <v>121.8259216</v>
      </c>
      <c r="AF11">
        <v>34.832382440000003</v>
      </c>
      <c r="AG11">
        <v>90.626496529999997</v>
      </c>
      <c r="AH11">
        <v>27.088629940000001</v>
      </c>
      <c r="AI11">
        <v>47.731229659999997</v>
      </c>
      <c r="AJ11">
        <v>1.141111E-3</v>
      </c>
      <c r="AK11">
        <v>222.99796559999999</v>
      </c>
      <c r="AL11">
        <v>4.661774576</v>
      </c>
      <c r="AM11">
        <v>0.53450848699999998</v>
      </c>
      <c r="AN11">
        <v>0.38941069699999997</v>
      </c>
      <c r="AO11">
        <v>0.96997594700000001</v>
      </c>
      <c r="AP11">
        <v>0.15164127199999999</v>
      </c>
    </row>
    <row r="12" spans="1:42" x14ac:dyDescent="0.2">
      <c r="A12" t="s">
        <v>66</v>
      </c>
      <c r="B12" t="s">
        <v>68</v>
      </c>
      <c r="C12">
        <v>143</v>
      </c>
      <c r="D12">
        <v>141</v>
      </c>
      <c r="E12">
        <v>284</v>
      </c>
      <c r="F12" t="s">
        <v>67</v>
      </c>
      <c r="G12">
        <v>26</v>
      </c>
      <c r="H12">
        <v>22</v>
      </c>
      <c r="I12">
        <v>0</v>
      </c>
      <c r="J12">
        <f t="shared" si="0"/>
        <v>48</v>
      </c>
      <c r="K12">
        <v>22.159138609999999</v>
      </c>
      <c r="L12">
        <v>28.78027612</v>
      </c>
      <c r="M12">
        <v>32.066037459999997</v>
      </c>
      <c r="N12">
        <v>3174</v>
      </c>
      <c r="O12">
        <v>4346</v>
      </c>
      <c r="P12">
        <v>3970010</v>
      </c>
      <c r="Q12">
        <v>327115.11920000002</v>
      </c>
      <c r="R12">
        <v>12380731.5</v>
      </c>
      <c r="S12">
        <v>0.320660375</v>
      </c>
      <c r="T12">
        <v>13794204</v>
      </c>
      <c r="U12">
        <v>0.73032673699999995</v>
      </c>
      <c r="V12">
        <v>4.6622999999999999E-4</v>
      </c>
      <c r="W12">
        <v>1.488951591</v>
      </c>
      <c r="X12">
        <v>179.69947629999999</v>
      </c>
      <c r="Y12">
        <v>3743.1802480000001</v>
      </c>
      <c r="Z12">
        <v>3330.5421510000001</v>
      </c>
      <c r="AA12">
        <v>0.18828286</v>
      </c>
      <c r="AB12">
        <v>91.895256000000003</v>
      </c>
      <c r="AC12">
        <v>49.699460449999997</v>
      </c>
      <c r="AD12">
        <v>12.992727240000001</v>
      </c>
      <c r="AE12">
        <v>107.6994333</v>
      </c>
      <c r="AF12">
        <v>42.8575029</v>
      </c>
      <c r="AG12">
        <v>110.311239</v>
      </c>
      <c r="AH12">
        <v>44.516221950000002</v>
      </c>
      <c r="AI12">
        <v>25.087040080000001</v>
      </c>
      <c r="AJ12">
        <v>1.032743E-2</v>
      </c>
      <c r="AK12">
        <v>391.4391215</v>
      </c>
      <c r="AL12">
        <v>7.8882706249999996</v>
      </c>
      <c r="AM12">
        <v>0.46077653600000001</v>
      </c>
      <c r="AN12">
        <v>0.30554037499999998</v>
      </c>
      <c r="AO12">
        <v>0.95754220899999998</v>
      </c>
      <c r="AP12">
        <v>9.3355842999999994E-2</v>
      </c>
    </row>
    <row r="13" spans="1:42" x14ac:dyDescent="0.2">
      <c r="A13" t="s">
        <v>66</v>
      </c>
      <c r="B13" t="s">
        <v>70</v>
      </c>
      <c r="C13">
        <v>81</v>
      </c>
      <c r="D13">
        <v>109</v>
      </c>
      <c r="E13">
        <v>190</v>
      </c>
      <c r="F13" t="s">
        <v>69</v>
      </c>
      <c r="G13">
        <v>28</v>
      </c>
      <c r="H13">
        <v>22</v>
      </c>
      <c r="I13">
        <v>0</v>
      </c>
      <c r="J13">
        <f t="shared" si="0"/>
        <v>50</v>
      </c>
      <c r="K13">
        <v>23.98668245</v>
      </c>
      <c r="L13">
        <v>33.148656930000001</v>
      </c>
      <c r="M13">
        <v>40.595059919999997</v>
      </c>
      <c r="N13">
        <v>2983</v>
      </c>
      <c r="O13">
        <v>4346</v>
      </c>
      <c r="P13">
        <v>4297431</v>
      </c>
      <c r="Q13">
        <v>224141.2433</v>
      </c>
      <c r="R13">
        <v>10586093.5</v>
      </c>
      <c r="S13">
        <v>0.40595059900000002</v>
      </c>
      <c r="T13">
        <v>12964118</v>
      </c>
      <c r="U13">
        <v>0.68637827900000004</v>
      </c>
      <c r="V13">
        <v>1.074918E-3</v>
      </c>
      <c r="W13">
        <v>1.4317238750000001</v>
      </c>
      <c r="X13">
        <v>-175.17043240000001</v>
      </c>
      <c r="Y13">
        <v>3789.617217</v>
      </c>
      <c r="Z13">
        <v>2992.1169719999998</v>
      </c>
      <c r="AA13">
        <v>0.17026989000000001</v>
      </c>
      <c r="AB13">
        <v>147.54138</v>
      </c>
      <c r="AC13">
        <v>54.426419879999997</v>
      </c>
      <c r="AD13">
        <v>14.94461022</v>
      </c>
      <c r="AE13">
        <v>97.234139189999993</v>
      </c>
      <c r="AF13">
        <v>33.313521919999999</v>
      </c>
      <c r="AG13">
        <v>112.8813957</v>
      </c>
      <c r="AH13">
        <v>50.575034879999997</v>
      </c>
      <c r="AI13">
        <v>19.15835298</v>
      </c>
      <c r="AJ13">
        <v>9.5173140000000007E-3</v>
      </c>
      <c r="AK13">
        <v>291.51554220000003</v>
      </c>
      <c r="AL13">
        <v>6.556087249</v>
      </c>
      <c r="AM13">
        <v>0.47044271199999999</v>
      </c>
      <c r="AN13">
        <v>0.31917640899999999</v>
      </c>
      <c r="AO13">
        <v>0.97060636700000003</v>
      </c>
      <c r="AP13">
        <v>0.101874352</v>
      </c>
    </row>
    <row r="14" spans="1:42" x14ac:dyDescent="0.2">
      <c r="A14" t="s">
        <v>71</v>
      </c>
      <c r="B14" t="s">
        <v>73</v>
      </c>
      <c r="C14">
        <v>975</v>
      </c>
      <c r="D14">
        <v>1074</v>
      </c>
      <c r="E14">
        <v>2049</v>
      </c>
      <c r="F14" t="s">
        <v>72</v>
      </c>
      <c r="G14">
        <v>177</v>
      </c>
      <c r="H14">
        <v>128</v>
      </c>
      <c r="I14">
        <v>0</v>
      </c>
      <c r="J14">
        <f t="shared" si="0"/>
        <v>305</v>
      </c>
      <c r="K14">
        <v>22.78160789</v>
      </c>
      <c r="L14">
        <v>31.633132239999998</v>
      </c>
      <c r="M14">
        <v>34.136343269999998</v>
      </c>
      <c r="N14">
        <v>3449</v>
      </c>
      <c r="O14">
        <v>3741</v>
      </c>
      <c r="P14">
        <v>4081531</v>
      </c>
      <c r="Q14">
        <v>296273.74280000001</v>
      </c>
      <c r="R14">
        <v>11956556</v>
      </c>
      <c r="S14">
        <v>0.34136343299999999</v>
      </c>
      <c r="T14">
        <v>12902709</v>
      </c>
      <c r="U14">
        <v>0.92194600400000004</v>
      </c>
      <c r="V14">
        <v>5.8431399999999995E-4</v>
      </c>
      <c r="W14">
        <v>1.4732305189999999</v>
      </c>
      <c r="X14">
        <v>65.081566379999998</v>
      </c>
      <c r="Y14">
        <v>3705.7286789999998</v>
      </c>
      <c r="Z14">
        <v>3250.2205119999999</v>
      </c>
      <c r="AA14">
        <v>0.19156936999999999</v>
      </c>
      <c r="AB14">
        <v>57.028495999999997</v>
      </c>
      <c r="AC14">
        <v>47.155084700000003</v>
      </c>
      <c r="AD14">
        <v>11.33369246</v>
      </c>
      <c r="AE14">
        <v>110.8843299</v>
      </c>
      <c r="AF14">
        <v>41.857658800000003</v>
      </c>
      <c r="AG14">
        <v>112.484748</v>
      </c>
      <c r="AH14">
        <v>48.244405329999999</v>
      </c>
      <c r="AI14">
        <v>30.454503469999999</v>
      </c>
      <c r="AJ14">
        <v>6.7131669999999999E-3</v>
      </c>
      <c r="AK14">
        <v>424.80484139999999</v>
      </c>
      <c r="AL14">
        <v>8.8939521490000004</v>
      </c>
      <c r="AM14">
        <v>0.408708815</v>
      </c>
      <c r="AN14">
        <v>0.25719497400000002</v>
      </c>
      <c r="AO14">
        <v>0.95420800900000002</v>
      </c>
      <c r="AP14">
        <v>6.6149902999999996E-2</v>
      </c>
    </row>
    <row r="15" spans="1:42" x14ac:dyDescent="0.2">
      <c r="A15" t="s">
        <v>71</v>
      </c>
      <c r="B15" t="s">
        <v>75</v>
      </c>
      <c r="C15">
        <v>663</v>
      </c>
      <c r="D15">
        <v>790</v>
      </c>
      <c r="E15">
        <v>1453</v>
      </c>
      <c r="F15" t="s">
        <v>74</v>
      </c>
      <c r="G15">
        <v>141</v>
      </c>
      <c r="H15">
        <v>81</v>
      </c>
      <c r="I15">
        <v>0</v>
      </c>
      <c r="J15">
        <f t="shared" si="0"/>
        <v>222</v>
      </c>
      <c r="K15">
        <v>21.597319339999999</v>
      </c>
      <c r="L15">
        <v>28.70981514</v>
      </c>
      <c r="M15">
        <v>36.454491439999998</v>
      </c>
      <c r="N15">
        <v>3276</v>
      </c>
      <c r="O15">
        <v>4114</v>
      </c>
      <c r="P15">
        <v>3869355</v>
      </c>
      <c r="Q15">
        <v>323491.54670000001</v>
      </c>
      <c r="R15">
        <v>10614206.5</v>
      </c>
      <c r="S15">
        <v>0.364544914</v>
      </c>
      <c r="T15">
        <v>13477464</v>
      </c>
      <c r="U15">
        <v>0.79630529900000002</v>
      </c>
      <c r="V15">
        <v>4.6464599999999998E-4</v>
      </c>
      <c r="W15">
        <v>1.490003706</v>
      </c>
      <c r="X15">
        <v>-138.22012899999999</v>
      </c>
      <c r="Y15">
        <v>3447.7070469999999</v>
      </c>
      <c r="Z15">
        <v>2984.3064810000001</v>
      </c>
      <c r="AA15">
        <v>0.19595667999999999</v>
      </c>
      <c r="AB15">
        <v>101.23614000000001</v>
      </c>
      <c r="AC15">
        <v>46.638753999999999</v>
      </c>
      <c r="AD15">
        <v>11.29225355</v>
      </c>
      <c r="AE15">
        <v>113.91579969999999</v>
      </c>
      <c r="AF15">
        <v>41.434874440000002</v>
      </c>
      <c r="AG15">
        <v>117.4917908</v>
      </c>
      <c r="AH15">
        <v>48.939759270000003</v>
      </c>
      <c r="AI15">
        <v>34.445560049999997</v>
      </c>
      <c r="AJ15">
        <v>3.8249270000000001E-3</v>
      </c>
      <c r="AK15">
        <v>370.59491229999998</v>
      </c>
      <c r="AL15">
        <v>8.1552008570000005</v>
      </c>
      <c r="AM15">
        <v>0.46110212099999998</v>
      </c>
      <c r="AN15">
        <v>0.333087156</v>
      </c>
      <c r="AO15">
        <v>0.96429182400000002</v>
      </c>
      <c r="AP15">
        <v>0.11094744500000001</v>
      </c>
    </row>
    <row r="16" spans="1:42" x14ac:dyDescent="0.2">
      <c r="A16" s="1" t="s">
        <v>76</v>
      </c>
      <c r="B16" s="1" t="s">
        <v>78</v>
      </c>
      <c r="C16" s="1">
        <v>150</v>
      </c>
      <c r="D16" s="1">
        <v>72</v>
      </c>
      <c r="E16" s="1">
        <v>222</v>
      </c>
      <c r="F16" s="1" t="s">
        <v>77</v>
      </c>
      <c r="G16">
        <v>13</v>
      </c>
      <c r="H16">
        <v>5</v>
      </c>
      <c r="I16">
        <v>0</v>
      </c>
      <c r="J16">
        <f t="shared" si="0"/>
        <v>18</v>
      </c>
      <c r="K16">
        <v>29.56433011</v>
      </c>
      <c r="L16">
        <v>40.059377570000002</v>
      </c>
      <c r="M16">
        <v>50.240623900000003</v>
      </c>
      <c r="N16">
        <v>3421</v>
      </c>
      <c r="O16">
        <v>3865</v>
      </c>
      <c r="P16">
        <v>5296717</v>
      </c>
      <c r="Q16">
        <v>143802.1146</v>
      </c>
      <c r="R16">
        <v>10542697.5</v>
      </c>
      <c r="S16">
        <v>0.50240623900000003</v>
      </c>
      <c r="T16">
        <v>13222165</v>
      </c>
      <c r="U16">
        <v>0.88512289799999999</v>
      </c>
      <c r="V16">
        <v>3.2187409999999998E-3</v>
      </c>
      <c r="W16">
        <v>1.355056721</v>
      </c>
      <c r="X16">
        <v>-135.15149690000001</v>
      </c>
      <c r="Y16">
        <v>3692.767621</v>
      </c>
      <c r="Z16">
        <v>3085.5014080000001</v>
      </c>
      <c r="AA16">
        <v>0.19045253000000001</v>
      </c>
      <c r="AB16">
        <v>66.765960000000007</v>
      </c>
      <c r="AC16">
        <v>58.055994120000001</v>
      </c>
      <c r="AD16">
        <v>14.44898613</v>
      </c>
      <c r="AE16">
        <v>102.62670009999999</v>
      </c>
      <c r="AF16">
        <v>31.943451419999999</v>
      </c>
      <c r="AG16">
        <v>122.36974410000001</v>
      </c>
      <c r="AH16">
        <v>55.695587369999998</v>
      </c>
      <c r="AI16">
        <v>13.598630999999999</v>
      </c>
      <c r="AJ16">
        <v>1.906842E-3</v>
      </c>
      <c r="AK16">
        <v>216.4458478</v>
      </c>
      <c r="AL16">
        <v>5.7528983269999996</v>
      </c>
      <c r="AM16">
        <v>0.455462319</v>
      </c>
      <c r="AN16">
        <v>0.29269201299999997</v>
      </c>
      <c r="AO16">
        <v>0.97931556799999997</v>
      </c>
      <c r="AP16">
        <v>8.5669229999999999E-2</v>
      </c>
    </row>
    <row r="17" spans="1:42" x14ac:dyDescent="0.2">
      <c r="A17" s="1" t="s">
        <v>76</v>
      </c>
      <c r="B17" s="1" t="s">
        <v>80</v>
      </c>
      <c r="C17" s="1">
        <v>405</v>
      </c>
      <c r="D17" s="1">
        <v>253</v>
      </c>
      <c r="E17" s="1">
        <v>658</v>
      </c>
      <c r="F17" s="1" t="s">
        <v>79</v>
      </c>
      <c r="G17">
        <v>17</v>
      </c>
      <c r="H17">
        <v>7</v>
      </c>
      <c r="I17">
        <v>0</v>
      </c>
      <c r="J17">
        <f t="shared" si="0"/>
        <v>24</v>
      </c>
      <c r="K17">
        <v>32.502909150000001</v>
      </c>
      <c r="L17">
        <v>48.981363039999998</v>
      </c>
      <c r="M17">
        <v>56.812363560000001</v>
      </c>
      <c r="N17">
        <v>3437</v>
      </c>
      <c r="O17">
        <v>3459</v>
      </c>
      <c r="P17">
        <v>5823190</v>
      </c>
      <c r="Q17">
        <v>119620.59020000001</v>
      </c>
      <c r="R17">
        <v>10249864</v>
      </c>
      <c r="S17">
        <v>0.56812363600000004</v>
      </c>
      <c r="T17">
        <v>11888583</v>
      </c>
      <c r="U17">
        <v>0.99363977999999997</v>
      </c>
      <c r="V17">
        <v>5.1139790000000003E-3</v>
      </c>
      <c r="W17">
        <v>1.3231750069999999</v>
      </c>
      <c r="X17">
        <v>107.27928900000001</v>
      </c>
      <c r="Y17">
        <v>3465.9133109999998</v>
      </c>
      <c r="Z17">
        <v>2928.6505830000001</v>
      </c>
      <c r="AA17">
        <v>0.20306987000000001</v>
      </c>
      <c r="AB17">
        <v>73.794499999999999</v>
      </c>
      <c r="AC17">
        <v>55.433891389999999</v>
      </c>
      <c r="AD17">
        <v>13.86792118</v>
      </c>
      <c r="AE17">
        <v>108.14908939999999</v>
      </c>
      <c r="AF17">
        <v>35.544205269999999</v>
      </c>
      <c r="AG17">
        <v>129.4949847</v>
      </c>
      <c r="AH17">
        <v>56.322956419999997</v>
      </c>
      <c r="AI17">
        <v>15.753186830000001</v>
      </c>
      <c r="AJ17">
        <v>3.795171E-3</v>
      </c>
      <c r="AK17">
        <v>305.69270770000003</v>
      </c>
      <c r="AL17">
        <v>7.330698452</v>
      </c>
      <c r="AM17">
        <v>0.40323571400000002</v>
      </c>
      <c r="AN17">
        <v>0.257549996</v>
      </c>
      <c r="AO17">
        <v>0.97359146100000005</v>
      </c>
      <c r="AP17">
        <v>6.6332738000000002E-2</v>
      </c>
    </row>
    <row r="18" spans="1:42" x14ac:dyDescent="0.2">
      <c r="A18" t="s">
        <v>81</v>
      </c>
      <c r="B18" t="s">
        <v>83</v>
      </c>
      <c r="C18">
        <v>131</v>
      </c>
      <c r="D18">
        <v>77</v>
      </c>
      <c r="E18">
        <v>208</v>
      </c>
      <c r="F18" t="s">
        <v>82</v>
      </c>
      <c r="G18">
        <v>27</v>
      </c>
      <c r="H18">
        <v>0</v>
      </c>
      <c r="I18">
        <v>0</v>
      </c>
      <c r="J18">
        <f t="shared" si="0"/>
        <v>27</v>
      </c>
      <c r="K18">
        <v>22.971377830000002</v>
      </c>
      <c r="L18">
        <v>34.961398750000001</v>
      </c>
      <c r="M18">
        <v>47.976693439999998</v>
      </c>
      <c r="N18">
        <v>3442</v>
      </c>
      <c r="O18">
        <v>3420</v>
      </c>
      <c r="P18">
        <v>4115530</v>
      </c>
      <c r="Q18">
        <v>169151.2072</v>
      </c>
      <c r="R18">
        <v>8578186</v>
      </c>
      <c r="S18">
        <v>0.47976693399999998</v>
      </c>
      <c r="T18">
        <v>11771640</v>
      </c>
      <c r="U18">
        <v>1.006432749</v>
      </c>
      <c r="V18">
        <v>1.8075299999999999E-3</v>
      </c>
      <c r="W18">
        <v>1.398825921</v>
      </c>
      <c r="X18">
        <v>67.966144319999998</v>
      </c>
      <c r="Y18">
        <v>3437.9717900000001</v>
      </c>
      <c r="Z18">
        <v>2727.6763340000002</v>
      </c>
      <c r="AA18">
        <v>0.19351798000000001</v>
      </c>
      <c r="AB18">
        <v>0.26073914999999998</v>
      </c>
      <c r="AC18">
        <v>53.746672480000001</v>
      </c>
      <c r="AD18">
        <v>14.16418794</v>
      </c>
      <c r="AE18">
        <v>106.3393162</v>
      </c>
      <c r="AF18">
        <v>38.470792009999997</v>
      </c>
      <c r="AG18">
        <v>123.6409092</v>
      </c>
      <c r="AH18">
        <v>53.153867910000002</v>
      </c>
      <c r="AI18">
        <v>18.515136569999999</v>
      </c>
      <c r="AJ18">
        <v>3.8148190000000001E-3</v>
      </c>
      <c r="AK18">
        <v>280.29952650000001</v>
      </c>
      <c r="AL18">
        <v>6.7717722379999996</v>
      </c>
      <c r="AM18">
        <v>0.47992227999999998</v>
      </c>
      <c r="AN18">
        <v>0.34058614100000001</v>
      </c>
      <c r="AO18">
        <v>0.97478836700000004</v>
      </c>
      <c r="AP18">
        <v>0.115999423</v>
      </c>
    </row>
    <row r="19" spans="1:42" x14ac:dyDescent="0.2">
      <c r="A19" t="s">
        <v>81</v>
      </c>
      <c r="B19" t="s">
        <v>85</v>
      </c>
      <c r="C19">
        <v>103</v>
      </c>
      <c r="D19">
        <v>126</v>
      </c>
      <c r="E19">
        <v>229</v>
      </c>
      <c r="F19" t="s">
        <v>84</v>
      </c>
      <c r="G19">
        <v>18</v>
      </c>
      <c r="H19">
        <v>6</v>
      </c>
      <c r="I19">
        <v>0</v>
      </c>
      <c r="J19">
        <f t="shared" si="0"/>
        <v>24</v>
      </c>
      <c r="K19">
        <v>42.340447910000002</v>
      </c>
      <c r="L19">
        <v>49.805509860000001</v>
      </c>
      <c r="M19">
        <v>54.27658443</v>
      </c>
      <c r="N19">
        <v>3456</v>
      </c>
      <c r="O19">
        <v>4407</v>
      </c>
      <c r="P19">
        <v>7585674</v>
      </c>
      <c r="Q19">
        <v>198263.12539999999</v>
      </c>
      <c r="R19">
        <v>13975960.5</v>
      </c>
      <c r="S19">
        <v>0.54276584400000005</v>
      </c>
      <c r="T19">
        <v>15230592</v>
      </c>
      <c r="U19">
        <v>0.78420694300000005</v>
      </c>
      <c r="V19">
        <v>2.4250470000000001E-3</v>
      </c>
      <c r="W19">
        <v>1.364879631</v>
      </c>
      <c r="X19">
        <v>163.29229559999999</v>
      </c>
      <c r="Y19">
        <v>4155.8974859999998</v>
      </c>
      <c r="Z19">
        <v>3742.4538050000001</v>
      </c>
      <c r="AA19">
        <v>0.19108099000000001</v>
      </c>
      <c r="AB19">
        <v>19.407475999999999</v>
      </c>
      <c r="AC19">
        <v>56.592191810000003</v>
      </c>
      <c r="AD19">
        <v>14.96111303</v>
      </c>
      <c r="AE19">
        <v>105.3690048</v>
      </c>
      <c r="AF19">
        <v>33.21835523</v>
      </c>
      <c r="AG19">
        <v>127.6173658</v>
      </c>
      <c r="AH19">
        <v>60.228445170000001</v>
      </c>
      <c r="AI19">
        <v>16.355988929999999</v>
      </c>
      <c r="AJ19">
        <v>3.9020919999999998E-3</v>
      </c>
      <c r="AK19">
        <v>312.75561920000001</v>
      </c>
      <c r="AL19">
        <v>7.0806651550000002</v>
      </c>
      <c r="AM19">
        <v>0.36751696</v>
      </c>
      <c r="AN19">
        <v>0.17058165</v>
      </c>
      <c r="AO19">
        <v>0.97459985800000004</v>
      </c>
      <c r="AP19">
        <v>2.9099113999999999E-2</v>
      </c>
    </row>
    <row r="20" spans="1:42" x14ac:dyDescent="0.2">
      <c r="A20" t="s">
        <v>86</v>
      </c>
      <c r="B20" t="s">
        <v>88</v>
      </c>
      <c r="C20">
        <v>2369</v>
      </c>
      <c r="D20">
        <v>636</v>
      </c>
      <c r="E20">
        <v>3005</v>
      </c>
      <c r="F20" t="s">
        <v>87</v>
      </c>
      <c r="G20">
        <v>382</v>
      </c>
      <c r="H20">
        <v>102</v>
      </c>
      <c r="I20">
        <v>0</v>
      </c>
      <c r="J20">
        <f t="shared" si="0"/>
        <v>484</v>
      </c>
      <c r="K20">
        <v>32.900405139999997</v>
      </c>
      <c r="L20">
        <v>40.121312690000003</v>
      </c>
      <c r="M20">
        <v>42.474747129999997</v>
      </c>
      <c r="N20">
        <v>3456</v>
      </c>
      <c r="O20">
        <v>4251</v>
      </c>
      <c r="P20">
        <v>5894405</v>
      </c>
      <c r="Q20">
        <v>221067.21890000001</v>
      </c>
      <c r="R20">
        <v>13877434</v>
      </c>
      <c r="S20">
        <v>0.42474747099999999</v>
      </c>
      <c r="T20">
        <v>14691456</v>
      </c>
      <c r="U20">
        <v>0.81298517999999997</v>
      </c>
      <c r="V20">
        <v>1.515658E-3</v>
      </c>
      <c r="W20">
        <v>1.400932399</v>
      </c>
      <c r="X20">
        <v>138.8648067</v>
      </c>
      <c r="Y20">
        <v>4355.8373300000003</v>
      </c>
      <c r="Z20">
        <v>3271.2895100000001</v>
      </c>
      <c r="AA20">
        <v>0.19636497</v>
      </c>
      <c r="AB20">
        <v>275.08783</v>
      </c>
      <c r="AC20">
        <v>52.574544670000002</v>
      </c>
      <c r="AD20">
        <v>13.60834302</v>
      </c>
      <c r="AE20">
        <v>107.87341619999999</v>
      </c>
      <c r="AF20">
        <v>38.749689269999998</v>
      </c>
      <c r="AG20">
        <v>117.8516417</v>
      </c>
      <c r="AH20">
        <v>52.908838609999997</v>
      </c>
      <c r="AI20">
        <v>19.386859229999999</v>
      </c>
      <c r="AJ20">
        <v>1.2367661E-2</v>
      </c>
      <c r="AK20">
        <v>389.77132669999997</v>
      </c>
      <c r="AL20">
        <v>8.5398332230000005</v>
      </c>
      <c r="AM20">
        <v>0.35202853699999997</v>
      </c>
      <c r="AN20">
        <v>0.17814375900000001</v>
      </c>
      <c r="AO20">
        <v>0.96102377299999997</v>
      </c>
      <c r="AP20">
        <v>3.1735685E-2</v>
      </c>
    </row>
    <row r="21" spans="1:42" x14ac:dyDescent="0.2">
      <c r="A21" t="s">
        <v>86</v>
      </c>
      <c r="B21" t="s">
        <v>90</v>
      </c>
      <c r="C21">
        <v>2774</v>
      </c>
      <c r="D21">
        <v>629</v>
      </c>
      <c r="E21">
        <v>3403</v>
      </c>
      <c r="F21" t="s">
        <v>89</v>
      </c>
      <c r="G21">
        <v>456</v>
      </c>
      <c r="H21">
        <v>83</v>
      </c>
      <c r="I21">
        <v>0</v>
      </c>
      <c r="J21">
        <f t="shared" si="0"/>
        <v>539</v>
      </c>
      <c r="K21">
        <v>34.481285450000001</v>
      </c>
      <c r="L21">
        <v>40.142037680000001</v>
      </c>
      <c r="M21">
        <v>43.389589319999999</v>
      </c>
      <c r="N21">
        <v>3449</v>
      </c>
      <c r="O21">
        <v>4462</v>
      </c>
      <c r="P21">
        <v>6177634</v>
      </c>
      <c r="Q21">
        <v>327649.16450000001</v>
      </c>
      <c r="R21">
        <v>14237595</v>
      </c>
      <c r="S21">
        <v>0.43389589299999998</v>
      </c>
      <c r="T21">
        <v>15389438</v>
      </c>
      <c r="U21">
        <v>0.77297176199999995</v>
      </c>
      <c r="V21">
        <v>7.2312600000000004E-4</v>
      </c>
      <c r="W21">
        <v>1.4470557310000001</v>
      </c>
      <c r="X21">
        <v>-148.886099</v>
      </c>
      <c r="Y21">
        <v>4468.1630889999997</v>
      </c>
      <c r="Z21">
        <v>3508.9512490000002</v>
      </c>
      <c r="AA21">
        <v>0.21580885</v>
      </c>
      <c r="AB21">
        <v>134.24026000000001</v>
      </c>
      <c r="AC21">
        <v>47.432091149999998</v>
      </c>
      <c r="AD21">
        <v>11.59001866</v>
      </c>
      <c r="AE21">
        <v>122.1353869</v>
      </c>
      <c r="AF21">
        <v>44.881464450000003</v>
      </c>
      <c r="AG21">
        <v>120.2320838</v>
      </c>
      <c r="AH21">
        <v>49.017110430000002</v>
      </c>
      <c r="AI21">
        <v>30.440132909999999</v>
      </c>
      <c r="AJ21">
        <v>5.2285389999999999E-3</v>
      </c>
      <c r="AK21">
        <v>437.76422880000001</v>
      </c>
      <c r="AL21">
        <v>9.4705028779999996</v>
      </c>
      <c r="AM21">
        <v>0.34666568599999997</v>
      </c>
      <c r="AN21">
        <v>0.16159802400000001</v>
      </c>
      <c r="AO21">
        <v>0.95346133200000005</v>
      </c>
      <c r="AP21">
        <v>2.6114449000000001E-2</v>
      </c>
    </row>
    <row r="22" spans="1:42" x14ac:dyDescent="0.2">
      <c r="A22" t="s">
        <v>91</v>
      </c>
      <c r="B22" t="s">
        <v>93</v>
      </c>
      <c r="C22">
        <v>2858</v>
      </c>
      <c r="D22">
        <v>494</v>
      </c>
      <c r="E22">
        <v>3352</v>
      </c>
      <c r="F22" t="s">
        <v>92</v>
      </c>
      <c r="G22">
        <v>399</v>
      </c>
      <c r="H22">
        <v>125</v>
      </c>
      <c r="I22">
        <v>0</v>
      </c>
      <c r="J22">
        <f t="shared" si="0"/>
        <v>524</v>
      </c>
      <c r="K22">
        <v>17.160691419999999</v>
      </c>
      <c r="L22">
        <v>24.78713411</v>
      </c>
      <c r="M22">
        <v>28.334685329999999</v>
      </c>
      <c r="N22">
        <v>3456</v>
      </c>
      <c r="O22">
        <v>3589</v>
      </c>
      <c r="P22">
        <v>3074493</v>
      </c>
      <c r="Q22">
        <v>304993.40429999999</v>
      </c>
      <c r="R22">
        <v>10850634</v>
      </c>
      <c r="S22">
        <v>0.28334685300000001</v>
      </c>
      <c r="T22">
        <v>12403584</v>
      </c>
      <c r="U22">
        <v>0.96294232400000002</v>
      </c>
      <c r="V22">
        <v>4.1533899999999998E-4</v>
      </c>
      <c r="W22">
        <v>1.505055764</v>
      </c>
      <c r="X22">
        <v>71.370225599999998</v>
      </c>
      <c r="Y22">
        <v>3445.2070079999999</v>
      </c>
      <c r="Z22">
        <v>3003.6749589999999</v>
      </c>
      <c r="AA22">
        <v>0.1755929</v>
      </c>
      <c r="AB22">
        <v>115.35064</v>
      </c>
      <c r="AC22">
        <v>50.926390789999999</v>
      </c>
      <c r="AD22">
        <v>13.72478212</v>
      </c>
      <c r="AE22">
        <v>100.8367812</v>
      </c>
      <c r="AF22">
        <v>39.037247710000003</v>
      </c>
      <c r="AG22">
        <v>114.1711268</v>
      </c>
      <c r="AH22">
        <v>49.955584420000001</v>
      </c>
      <c r="AI22">
        <v>23.366812020000001</v>
      </c>
      <c r="AJ22">
        <v>1.5937587E-2</v>
      </c>
      <c r="AK22">
        <v>351.18308139999999</v>
      </c>
      <c r="AL22">
        <v>7.9903402740000002</v>
      </c>
      <c r="AM22">
        <v>0.43686829399999999</v>
      </c>
      <c r="AN22">
        <v>0.29937529000000002</v>
      </c>
      <c r="AO22">
        <v>0.96035894099999997</v>
      </c>
      <c r="AP22">
        <v>8.9626222000000005E-2</v>
      </c>
    </row>
    <row r="23" spans="1:42" x14ac:dyDescent="0.2">
      <c r="A23" t="s">
        <v>91</v>
      </c>
      <c r="B23" t="s">
        <v>95</v>
      </c>
      <c r="C23">
        <v>1797</v>
      </c>
      <c r="D23">
        <v>351</v>
      </c>
      <c r="E23">
        <v>2148</v>
      </c>
      <c r="F23" t="s">
        <v>94</v>
      </c>
      <c r="G23">
        <v>171</v>
      </c>
      <c r="H23">
        <v>63</v>
      </c>
      <c r="I23">
        <v>0</v>
      </c>
      <c r="J23">
        <f t="shared" si="0"/>
        <v>234</v>
      </c>
      <c r="K23">
        <v>14.953697010000001</v>
      </c>
      <c r="L23">
        <v>21.046164260000001</v>
      </c>
      <c r="M23">
        <v>29.862516660000001</v>
      </c>
      <c r="N23">
        <v>2901</v>
      </c>
      <c r="O23">
        <v>4388</v>
      </c>
      <c r="P23">
        <v>2679090</v>
      </c>
      <c r="Q23">
        <v>201111.9681</v>
      </c>
      <c r="R23">
        <v>8971414</v>
      </c>
      <c r="S23">
        <v>0.29862516700000002</v>
      </c>
      <c r="T23">
        <v>12729588</v>
      </c>
      <c r="U23">
        <v>0.66112124000000005</v>
      </c>
      <c r="V23">
        <v>8.3237899999999995E-4</v>
      </c>
      <c r="W23">
        <v>1.462783824</v>
      </c>
      <c r="X23">
        <v>117.12595469999999</v>
      </c>
      <c r="Y23">
        <v>2922.9310799999998</v>
      </c>
      <c r="Z23">
        <v>2895.3932239999999</v>
      </c>
      <c r="AA23">
        <v>0.18769321</v>
      </c>
      <c r="AB23">
        <v>98.751840000000001</v>
      </c>
      <c r="AC23">
        <v>49.827695970000001</v>
      </c>
      <c r="AD23">
        <v>12.70187527</v>
      </c>
      <c r="AE23">
        <v>106.2117435</v>
      </c>
      <c r="AF23">
        <v>39.30092294</v>
      </c>
      <c r="AG23">
        <v>117.8324185</v>
      </c>
      <c r="AH23">
        <v>49.872152630000002</v>
      </c>
      <c r="AI23">
        <v>24.652139349999999</v>
      </c>
      <c r="AJ23">
        <v>6.9426560000000002E-3</v>
      </c>
      <c r="AK23">
        <v>263.39690810000002</v>
      </c>
      <c r="AL23">
        <v>5.5918977050000001</v>
      </c>
      <c r="AM23">
        <v>0.60945471799999995</v>
      </c>
      <c r="AN23">
        <v>0.51277847700000001</v>
      </c>
      <c r="AO23">
        <v>0.97183003999999995</v>
      </c>
      <c r="AP23">
        <v>0.26294229000000002</v>
      </c>
    </row>
    <row r="24" spans="1:42" x14ac:dyDescent="0.2">
      <c r="A24" s="1" t="s">
        <v>96</v>
      </c>
      <c r="B24" s="1" t="s">
        <v>98</v>
      </c>
      <c r="C24" s="1">
        <v>915</v>
      </c>
      <c r="D24" s="1">
        <v>277</v>
      </c>
      <c r="E24" s="1">
        <v>1192</v>
      </c>
      <c r="F24" s="1" t="s">
        <v>97</v>
      </c>
      <c r="G24">
        <v>355</v>
      </c>
      <c r="H24">
        <v>90</v>
      </c>
      <c r="I24">
        <v>0</v>
      </c>
      <c r="J24">
        <f t="shared" si="0"/>
        <v>445</v>
      </c>
      <c r="K24">
        <v>17.257041560000001</v>
      </c>
      <c r="L24">
        <v>24.187094330000001</v>
      </c>
      <c r="M24">
        <v>33.745563179999998</v>
      </c>
      <c r="N24">
        <v>2988</v>
      </c>
      <c r="O24">
        <v>4278</v>
      </c>
      <c r="P24">
        <v>3091755</v>
      </c>
      <c r="Q24">
        <v>284584.57939999999</v>
      </c>
      <c r="R24">
        <v>9161960</v>
      </c>
      <c r="S24">
        <v>0.33745563200000001</v>
      </c>
      <c r="T24">
        <v>12782664</v>
      </c>
      <c r="U24">
        <v>0.69845722300000002</v>
      </c>
      <c r="V24">
        <v>4.7972500000000002E-4</v>
      </c>
      <c r="W24">
        <v>1.4952228219999999</v>
      </c>
      <c r="X24">
        <v>-178.71959849999999</v>
      </c>
      <c r="Y24">
        <v>3954.854288</v>
      </c>
      <c r="Z24">
        <v>2720.379359</v>
      </c>
      <c r="AA24">
        <v>0.19095391</v>
      </c>
      <c r="AB24">
        <v>97.891400000000004</v>
      </c>
      <c r="AC24">
        <v>50.036847999999999</v>
      </c>
      <c r="AD24">
        <v>12.76180559</v>
      </c>
      <c r="AE24">
        <v>107.5162948</v>
      </c>
      <c r="AF24">
        <v>41.891907549999999</v>
      </c>
      <c r="AG24">
        <v>107.2413225</v>
      </c>
      <c r="AH24">
        <v>45.803269499999999</v>
      </c>
      <c r="AI24">
        <v>22.741743769999999</v>
      </c>
      <c r="AJ24">
        <v>6.5658499999999998E-3</v>
      </c>
      <c r="AK24">
        <v>373.11431959999999</v>
      </c>
      <c r="AL24">
        <v>7.5500096169999997</v>
      </c>
      <c r="AM24">
        <v>0.52788901899999996</v>
      </c>
      <c r="AN24">
        <v>0.41454861900000001</v>
      </c>
      <c r="AO24">
        <v>0.95973162300000003</v>
      </c>
      <c r="AP24">
        <v>0.17185112599999999</v>
      </c>
    </row>
    <row r="25" spans="1:42" x14ac:dyDescent="0.2">
      <c r="A25" s="1" t="s">
        <v>99</v>
      </c>
      <c r="B25" s="1" t="s">
        <v>101</v>
      </c>
      <c r="C25" s="1">
        <v>733</v>
      </c>
      <c r="D25" s="1">
        <v>125</v>
      </c>
      <c r="E25" s="1">
        <v>858</v>
      </c>
      <c r="F25" s="1" t="s">
        <v>100</v>
      </c>
      <c r="G25">
        <v>58</v>
      </c>
      <c r="H25">
        <v>6</v>
      </c>
      <c r="I25">
        <v>0</v>
      </c>
      <c r="J25">
        <f t="shared" si="0"/>
        <v>64</v>
      </c>
      <c r="K25">
        <v>19.38546891</v>
      </c>
      <c r="L25">
        <v>32.417506719999999</v>
      </c>
      <c r="M25">
        <v>34.41340623</v>
      </c>
      <c r="N25">
        <v>3456</v>
      </c>
      <c r="O25">
        <v>3100</v>
      </c>
      <c r="P25">
        <v>3473082</v>
      </c>
      <c r="Q25">
        <v>314114.09610000002</v>
      </c>
      <c r="R25">
        <v>10092235.5</v>
      </c>
      <c r="S25">
        <v>0.34413406200000002</v>
      </c>
      <c r="T25">
        <v>10713600</v>
      </c>
      <c r="U25">
        <v>1.1148387099999999</v>
      </c>
      <c r="V25">
        <v>4.4233400000000001E-4</v>
      </c>
      <c r="W25">
        <v>1.4967866379999999</v>
      </c>
      <c r="X25">
        <v>81.187978830000006</v>
      </c>
      <c r="Y25">
        <v>4099.1564019999996</v>
      </c>
      <c r="Z25">
        <v>2850.5654639999998</v>
      </c>
      <c r="AA25">
        <v>0.18749128000000001</v>
      </c>
      <c r="AB25">
        <v>16.584724000000001</v>
      </c>
      <c r="AC25">
        <v>46.854083490000001</v>
      </c>
      <c r="AD25">
        <v>11.789474159999999</v>
      </c>
      <c r="AE25">
        <v>110.92935780000001</v>
      </c>
      <c r="AF25">
        <v>46.422015950000002</v>
      </c>
      <c r="AG25">
        <v>106.18237689999999</v>
      </c>
      <c r="AH25">
        <v>39.908732999999998</v>
      </c>
      <c r="AI25">
        <v>33.676054870000002</v>
      </c>
      <c r="AJ25">
        <v>7.918039E-3</v>
      </c>
      <c r="AK25">
        <v>338.98498480000001</v>
      </c>
      <c r="AL25">
        <v>8.4825804829999996</v>
      </c>
      <c r="AM25">
        <v>0.36939469200000002</v>
      </c>
      <c r="AN25">
        <v>0.17869596300000001</v>
      </c>
      <c r="AO25">
        <v>0.94593996000000002</v>
      </c>
      <c r="AP25">
        <v>3.1932937000000002E-2</v>
      </c>
    </row>
    <row r="26" spans="1:42" x14ac:dyDescent="0.2">
      <c r="A26" s="1" t="s">
        <v>102</v>
      </c>
      <c r="B26" s="1" t="s">
        <v>104</v>
      </c>
      <c r="C26" s="1">
        <v>472</v>
      </c>
      <c r="D26" s="1">
        <v>90</v>
      </c>
      <c r="E26" s="1">
        <v>562</v>
      </c>
      <c r="F26" s="1" t="s">
        <v>103</v>
      </c>
      <c r="G26">
        <v>270</v>
      </c>
      <c r="H26">
        <v>28</v>
      </c>
      <c r="I26">
        <v>0</v>
      </c>
      <c r="J26">
        <f t="shared" si="0"/>
        <v>298</v>
      </c>
      <c r="K26">
        <v>33.347125550000001</v>
      </c>
      <c r="L26">
        <v>36.128563970000002</v>
      </c>
      <c r="M26">
        <v>40.52923328</v>
      </c>
      <c r="N26">
        <v>3448</v>
      </c>
      <c r="O26">
        <v>4796</v>
      </c>
      <c r="P26">
        <v>5974439</v>
      </c>
      <c r="Q26">
        <v>227543.35819999999</v>
      </c>
      <c r="R26">
        <v>14741061</v>
      </c>
      <c r="S26">
        <v>0.405292333</v>
      </c>
      <c r="T26">
        <v>16536608</v>
      </c>
      <c r="U26">
        <v>0.718932444</v>
      </c>
      <c r="V26">
        <v>1.450036E-3</v>
      </c>
      <c r="W26">
        <v>1.4034225709999999</v>
      </c>
      <c r="X26">
        <v>108.61058</v>
      </c>
      <c r="Y26">
        <v>3819.015625</v>
      </c>
      <c r="Z26">
        <v>3495.1719779999999</v>
      </c>
      <c r="AA26">
        <v>0.23179327</v>
      </c>
      <c r="AB26">
        <v>225.17604</v>
      </c>
      <c r="AC26">
        <v>47.186659370000001</v>
      </c>
      <c r="AD26">
        <v>10.75023723</v>
      </c>
      <c r="AE26">
        <v>127.97152920000001</v>
      </c>
      <c r="AF26">
        <v>41.947125880000002</v>
      </c>
      <c r="AG26">
        <v>118.0233264</v>
      </c>
      <c r="AH26">
        <v>52.619212249999997</v>
      </c>
      <c r="AI26">
        <v>27.891438839999999</v>
      </c>
      <c r="AJ26">
        <v>2.56091E-3</v>
      </c>
      <c r="AK26">
        <v>379.47100280000001</v>
      </c>
      <c r="AL26">
        <v>7.9722043100000004</v>
      </c>
      <c r="AM26">
        <v>0.42049335500000001</v>
      </c>
      <c r="AN26">
        <v>0.25609364499999998</v>
      </c>
      <c r="AO26">
        <v>0.96451025000000001</v>
      </c>
      <c r="AP26">
        <v>6.5584527000000004E-2</v>
      </c>
    </row>
    <row r="27" spans="1:42" x14ac:dyDescent="0.2">
      <c r="A27" t="s">
        <v>105</v>
      </c>
      <c r="B27" t="s">
        <v>107</v>
      </c>
      <c r="C27">
        <v>384</v>
      </c>
      <c r="D27">
        <v>55</v>
      </c>
      <c r="E27">
        <v>439</v>
      </c>
      <c r="F27" t="s">
        <v>106</v>
      </c>
      <c r="G27">
        <v>47</v>
      </c>
      <c r="H27">
        <v>5</v>
      </c>
      <c r="I27">
        <v>0</v>
      </c>
      <c r="J27">
        <f t="shared" si="0"/>
        <v>52</v>
      </c>
      <c r="K27">
        <v>29.080162519999998</v>
      </c>
      <c r="L27">
        <v>33.922493809999999</v>
      </c>
      <c r="M27">
        <v>41.433924750000003</v>
      </c>
      <c r="N27">
        <v>3456</v>
      </c>
      <c r="O27">
        <v>4444</v>
      </c>
      <c r="P27">
        <v>5209974</v>
      </c>
      <c r="Q27">
        <v>199673.8866</v>
      </c>
      <c r="R27">
        <v>12574174.5</v>
      </c>
      <c r="S27">
        <v>0.41433924700000002</v>
      </c>
      <c r="T27">
        <v>15358464</v>
      </c>
      <c r="U27">
        <v>0.77767776799999999</v>
      </c>
      <c r="V27">
        <v>1.642112E-3</v>
      </c>
      <c r="W27">
        <v>1.3989508129999999</v>
      </c>
      <c r="X27">
        <v>53.892723599999997</v>
      </c>
      <c r="Y27">
        <v>3824.773549</v>
      </c>
      <c r="Z27">
        <v>3204.2538220000001</v>
      </c>
      <c r="AA27">
        <v>0.20227294000000001</v>
      </c>
      <c r="AB27">
        <v>194.13945000000001</v>
      </c>
      <c r="AC27">
        <v>54.498492890000001</v>
      </c>
      <c r="AD27">
        <v>13.85181614</v>
      </c>
      <c r="AE27">
        <v>108.62387699999999</v>
      </c>
      <c r="AF27">
        <v>39.021469369999998</v>
      </c>
      <c r="AG27">
        <v>123.1327515</v>
      </c>
      <c r="AH27">
        <v>52.574416599999999</v>
      </c>
      <c r="AI27">
        <v>15.691805759999999</v>
      </c>
      <c r="AJ27">
        <v>3.953954E-3</v>
      </c>
      <c r="AK27">
        <v>324.94853549999999</v>
      </c>
      <c r="AL27">
        <v>7.3006553810000003</v>
      </c>
      <c r="AM27">
        <v>0.46581418099999999</v>
      </c>
      <c r="AN27">
        <v>0.33435995299999999</v>
      </c>
      <c r="AO27">
        <v>0.96953155499999999</v>
      </c>
      <c r="AP27">
        <v>0.111797326</v>
      </c>
    </row>
    <row r="28" spans="1:42" x14ac:dyDescent="0.2">
      <c r="A28" t="s">
        <v>108</v>
      </c>
      <c r="B28" t="s">
        <v>110</v>
      </c>
      <c r="C28">
        <v>1073</v>
      </c>
      <c r="D28">
        <v>231</v>
      </c>
      <c r="E28">
        <v>1304</v>
      </c>
      <c r="F28" t="s">
        <v>109</v>
      </c>
      <c r="G28">
        <v>107</v>
      </c>
      <c r="H28">
        <v>36</v>
      </c>
      <c r="I28">
        <v>0</v>
      </c>
      <c r="J28">
        <f t="shared" si="0"/>
        <v>143</v>
      </c>
      <c r="K28">
        <v>14.113041689999999</v>
      </c>
      <c r="L28">
        <v>20.036785259999998</v>
      </c>
      <c r="M28">
        <v>29.033089610000001</v>
      </c>
      <c r="N28">
        <v>2911</v>
      </c>
      <c r="O28">
        <v>4335</v>
      </c>
      <c r="P28">
        <v>2528479</v>
      </c>
      <c r="Q28">
        <v>240856.26149999999</v>
      </c>
      <c r="R28">
        <v>8708956</v>
      </c>
      <c r="S28">
        <v>0.290330896</v>
      </c>
      <c r="T28">
        <v>12619185</v>
      </c>
      <c r="U28">
        <v>0.67151095699999996</v>
      </c>
      <c r="V28">
        <v>5.4771300000000002E-4</v>
      </c>
      <c r="W28">
        <v>1.4929885810000001</v>
      </c>
      <c r="X28">
        <v>-144.34693179999999</v>
      </c>
      <c r="Y28">
        <v>4283.3765030000004</v>
      </c>
      <c r="Z28">
        <v>2064.5689779999998</v>
      </c>
      <c r="AA28">
        <v>0.18455398000000001</v>
      </c>
      <c r="AB28">
        <v>468.5034</v>
      </c>
      <c r="AC28">
        <v>53.257725690000001</v>
      </c>
      <c r="AD28">
        <v>13.837368379999999</v>
      </c>
      <c r="AE28">
        <v>101.7693807</v>
      </c>
      <c r="AF28">
        <v>44.83186911</v>
      </c>
      <c r="AG28">
        <v>115.4651041</v>
      </c>
      <c r="AH28">
        <v>48.511163580000002</v>
      </c>
      <c r="AI28">
        <v>15.945712820000001</v>
      </c>
      <c r="AJ28">
        <v>1.265583E-2</v>
      </c>
      <c r="AK28">
        <v>327.37143559999998</v>
      </c>
      <c r="AL28">
        <v>6.7299200270000004</v>
      </c>
      <c r="AM28">
        <v>0.53963151899999995</v>
      </c>
      <c r="AN28">
        <v>0.40131532399999997</v>
      </c>
      <c r="AO28">
        <v>0.96016463799999996</v>
      </c>
      <c r="AP28">
        <v>0.161054319</v>
      </c>
    </row>
    <row r="29" spans="1:42" x14ac:dyDescent="0.2">
      <c r="A29" t="s">
        <v>111</v>
      </c>
      <c r="B29" t="s">
        <v>113</v>
      </c>
      <c r="C29">
        <v>448</v>
      </c>
      <c r="D29">
        <v>158</v>
      </c>
      <c r="E29">
        <v>606</v>
      </c>
      <c r="F29" t="s">
        <v>112</v>
      </c>
      <c r="G29">
        <v>86</v>
      </c>
      <c r="H29">
        <v>53</v>
      </c>
      <c r="I29">
        <v>0</v>
      </c>
      <c r="J29">
        <f t="shared" si="0"/>
        <v>139</v>
      </c>
      <c r="K29">
        <v>10.906438209999999</v>
      </c>
      <c r="L29">
        <v>12.460380320000001</v>
      </c>
      <c r="M29">
        <v>17.82869015</v>
      </c>
      <c r="N29">
        <v>3025</v>
      </c>
      <c r="O29">
        <v>5184</v>
      </c>
      <c r="P29">
        <v>1953987</v>
      </c>
      <c r="Q29">
        <v>234915.23740000001</v>
      </c>
      <c r="R29">
        <v>10959790</v>
      </c>
      <c r="S29">
        <v>0.178286901</v>
      </c>
      <c r="T29">
        <v>15681600</v>
      </c>
      <c r="U29">
        <v>0.583526235</v>
      </c>
      <c r="V29">
        <v>4.4494800000000002E-4</v>
      </c>
      <c r="W29">
        <v>1.51610573</v>
      </c>
      <c r="X29">
        <v>-174.22350800000001</v>
      </c>
      <c r="Y29">
        <v>3684.0248820000002</v>
      </c>
      <c r="Z29">
        <v>2361.8745899999999</v>
      </c>
      <c r="AA29">
        <v>0.15926544000000001</v>
      </c>
      <c r="AB29">
        <v>27.86429</v>
      </c>
      <c r="AC29">
        <v>54.567903979999997</v>
      </c>
      <c r="AD29">
        <v>14.86568662</v>
      </c>
      <c r="AE29">
        <v>90.864701760000003</v>
      </c>
      <c r="AF29">
        <v>35.026016640000002</v>
      </c>
      <c r="AG29">
        <v>110.0317397</v>
      </c>
      <c r="AH29">
        <v>47.873743150000003</v>
      </c>
      <c r="AI29">
        <v>17.182560580000001</v>
      </c>
      <c r="AJ29">
        <v>9.2119339999999997E-3</v>
      </c>
      <c r="AK29">
        <v>265.264028</v>
      </c>
      <c r="AL29">
        <v>5.1530814569999999</v>
      </c>
      <c r="AM29">
        <v>0.64734521</v>
      </c>
      <c r="AN29">
        <v>0.55690194999999998</v>
      </c>
      <c r="AO29">
        <v>0.96913120100000005</v>
      </c>
      <c r="AP29">
        <v>0.31014040700000001</v>
      </c>
    </row>
    <row r="30" spans="1:42" x14ac:dyDescent="0.2">
      <c r="A30" t="s">
        <v>114</v>
      </c>
      <c r="B30" t="s">
        <v>116</v>
      </c>
      <c r="C30">
        <v>910</v>
      </c>
      <c r="D30">
        <v>363</v>
      </c>
      <c r="E30">
        <v>1273</v>
      </c>
      <c r="F30" t="s">
        <v>115</v>
      </c>
      <c r="G30">
        <v>87</v>
      </c>
      <c r="H30">
        <v>43</v>
      </c>
      <c r="I30">
        <v>0</v>
      </c>
      <c r="J30">
        <f t="shared" si="0"/>
        <v>130</v>
      </c>
      <c r="K30">
        <v>35.935819930000001</v>
      </c>
      <c r="L30">
        <v>40.259491349999998</v>
      </c>
      <c r="M30">
        <v>45.647852630000003</v>
      </c>
      <c r="N30">
        <v>3092</v>
      </c>
      <c r="O30">
        <v>5172</v>
      </c>
      <c r="P30">
        <v>6438227</v>
      </c>
      <c r="Q30">
        <v>191497.08319999999</v>
      </c>
      <c r="R30">
        <v>14104118</v>
      </c>
      <c r="S30">
        <v>0.456478526</v>
      </c>
      <c r="T30">
        <v>15991824</v>
      </c>
      <c r="U30">
        <v>0.59783449300000002</v>
      </c>
      <c r="V30">
        <v>2.206235E-3</v>
      </c>
      <c r="W30">
        <v>1.374728395</v>
      </c>
      <c r="X30">
        <v>171.82250239999999</v>
      </c>
      <c r="Y30">
        <v>4599.2451650000003</v>
      </c>
      <c r="Z30">
        <v>3025.3649059999998</v>
      </c>
      <c r="AA30">
        <v>0.21404602</v>
      </c>
      <c r="AB30">
        <v>42.901485000000001</v>
      </c>
      <c r="AC30">
        <v>45.713356640000001</v>
      </c>
      <c r="AD30">
        <v>9.8040482630000003</v>
      </c>
      <c r="AE30">
        <v>122.5440953</v>
      </c>
      <c r="AF30">
        <v>40.381480740000001</v>
      </c>
      <c r="AG30">
        <v>128.49394530000001</v>
      </c>
      <c r="AH30">
        <v>56.111881089999997</v>
      </c>
      <c r="AI30">
        <v>32.956573290000001</v>
      </c>
      <c r="AJ30">
        <v>1.630884E-3</v>
      </c>
      <c r="AK30">
        <v>317.27868960000001</v>
      </c>
      <c r="AL30">
        <v>7.095147248</v>
      </c>
      <c r="AM30">
        <v>0.413495153</v>
      </c>
      <c r="AN30">
        <v>0.22838945499999999</v>
      </c>
      <c r="AO30">
        <v>0.97397285600000005</v>
      </c>
      <c r="AP30">
        <v>5.2162237E-2</v>
      </c>
    </row>
    <row r="31" spans="1:42" x14ac:dyDescent="0.2">
      <c r="A31" t="s">
        <v>117</v>
      </c>
      <c r="B31" t="s">
        <v>119</v>
      </c>
      <c r="C31">
        <v>2898</v>
      </c>
      <c r="D31">
        <v>293</v>
      </c>
      <c r="E31">
        <v>3191</v>
      </c>
      <c r="F31" t="s">
        <v>118</v>
      </c>
      <c r="G31">
        <v>225</v>
      </c>
      <c r="H31">
        <v>67</v>
      </c>
      <c r="I31">
        <v>0</v>
      </c>
      <c r="J31">
        <f t="shared" si="0"/>
        <v>292</v>
      </c>
      <c r="K31">
        <v>7.6476018180000001</v>
      </c>
      <c r="L31">
        <v>16.68209302</v>
      </c>
      <c r="M31">
        <v>22.309232189999999</v>
      </c>
      <c r="N31">
        <v>2658</v>
      </c>
      <c r="O31">
        <v>3090</v>
      </c>
      <c r="P31">
        <v>1370137</v>
      </c>
      <c r="Q31">
        <v>157396.71890000001</v>
      </c>
      <c r="R31">
        <v>6141569.5</v>
      </c>
      <c r="S31">
        <v>0.22309232200000001</v>
      </c>
      <c r="T31">
        <v>8213220</v>
      </c>
      <c r="U31">
        <v>0.86019417499999995</v>
      </c>
      <c r="V31">
        <v>6.9499600000000003E-4</v>
      </c>
      <c r="W31">
        <v>1.4975109639999999</v>
      </c>
      <c r="X31">
        <v>122.44329089999999</v>
      </c>
      <c r="Y31">
        <v>2411.6784269999998</v>
      </c>
      <c r="Z31">
        <v>2317.113398</v>
      </c>
      <c r="AA31">
        <v>0.19955537000000001</v>
      </c>
      <c r="AB31">
        <v>49.126249999999999</v>
      </c>
      <c r="AC31">
        <v>50.477200459999999</v>
      </c>
      <c r="AD31">
        <v>12.40147189</v>
      </c>
      <c r="AE31">
        <v>109.6880239</v>
      </c>
      <c r="AF31">
        <v>41.85041562</v>
      </c>
      <c r="AG31">
        <v>105.5777393</v>
      </c>
      <c r="AH31">
        <v>44.147185350000001</v>
      </c>
      <c r="AI31">
        <v>20.421680460000001</v>
      </c>
      <c r="AJ31">
        <v>5.2549490000000001E-3</v>
      </c>
      <c r="AK31">
        <v>296.33880629999999</v>
      </c>
      <c r="AL31">
        <v>6.439303217</v>
      </c>
      <c r="AM31">
        <v>0.54647129299999997</v>
      </c>
      <c r="AN31">
        <v>0.39631929399999999</v>
      </c>
      <c r="AO31">
        <v>0.95213958099999996</v>
      </c>
      <c r="AP31">
        <v>0.15706973699999999</v>
      </c>
    </row>
    <row r="32" spans="1:42" x14ac:dyDescent="0.2">
      <c r="A32" t="s">
        <v>120</v>
      </c>
      <c r="B32" t="s">
        <v>122</v>
      </c>
      <c r="C32">
        <v>2167</v>
      </c>
      <c r="D32">
        <v>183</v>
      </c>
      <c r="E32">
        <v>2356</v>
      </c>
      <c r="F32" t="s">
        <v>121</v>
      </c>
      <c r="G32">
        <v>577</v>
      </c>
      <c r="H32">
        <v>40</v>
      </c>
      <c r="I32">
        <v>0</v>
      </c>
      <c r="J32">
        <f t="shared" si="0"/>
        <v>617</v>
      </c>
      <c r="K32">
        <v>18.59450129</v>
      </c>
      <c r="L32">
        <v>20.941536970000001</v>
      </c>
      <c r="M32">
        <v>22.69689988</v>
      </c>
      <c r="N32">
        <v>3456</v>
      </c>
      <c r="O32">
        <v>4603</v>
      </c>
      <c r="P32">
        <v>3331373</v>
      </c>
      <c r="Q32">
        <v>376028.87030000001</v>
      </c>
      <c r="R32">
        <v>14677656.5</v>
      </c>
      <c r="S32">
        <v>0.226968999</v>
      </c>
      <c r="T32">
        <v>15907968</v>
      </c>
      <c r="U32">
        <v>0.75081468600000001</v>
      </c>
      <c r="V32">
        <v>2.9606800000000003E-4</v>
      </c>
      <c r="W32">
        <v>1.524896042</v>
      </c>
      <c r="X32">
        <v>-144.75805099999999</v>
      </c>
      <c r="Y32">
        <v>3984.2795249999999</v>
      </c>
      <c r="Z32">
        <v>3865.9566300000001</v>
      </c>
      <c r="AA32">
        <v>0.17503912999999999</v>
      </c>
      <c r="AB32">
        <v>51.824264999999997</v>
      </c>
      <c r="AC32">
        <v>49.911234499999999</v>
      </c>
      <c r="AD32">
        <v>13.017047010000001</v>
      </c>
      <c r="AE32">
        <v>100.84676229999999</v>
      </c>
      <c r="AF32">
        <v>41.713439479999998</v>
      </c>
      <c r="AG32">
        <v>105.66112409999999</v>
      </c>
      <c r="AH32">
        <v>44.456102100000003</v>
      </c>
      <c r="AI32">
        <v>23.359947989999998</v>
      </c>
      <c r="AJ32">
        <v>8.6450840000000008E-3</v>
      </c>
      <c r="AK32">
        <v>376.20683179999997</v>
      </c>
      <c r="AL32">
        <v>7.4304379149999997</v>
      </c>
      <c r="AM32">
        <v>0.460407134</v>
      </c>
      <c r="AN32">
        <v>0.28298779299999999</v>
      </c>
      <c r="AO32">
        <v>0.95754337700000003</v>
      </c>
      <c r="AP32">
        <v>8.0083375999999998E-2</v>
      </c>
    </row>
    <row r="33" spans="1:42" x14ac:dyDescent="0.2">
      <c r="A33" t="s">
        <v>123</v>
      </c>
      <c r="B33" t="s">
        <v>125</v>
      </c>
      <c r="C33">
        <v>1595</v>
      </c>
      <c r="D33">
        <v>193</v>
      </c>
      <c r="E33">
        <v>1788</v>
      </c>
      <c r="F33" t="s">
        <v>124</v>
      </c>
      <c r="G33">
        <v>372</v>
      </c>
      <c r="H33">
        <v>99</v>
      </c>
      <c r="I33">
        <v>0</v>
      </c>
      <c r="J33">
        <f t="shared" si="0"/>
        <v>471</v>
      </c>
      <c r="K33">
        <v>13.635706020000001</v>
      </c>
      <c r="L33">
        <v>21.023375829999999</v>
      </c>
      <c r="M33">
        <v>26.952661559999999</v>
      </c>
      <c r="N33">
        <v>3112</v>
      </c>
      <c r="O33">
        <v>3734</v>
      </c>
      <c r="P33">
        <v>2442960</v>
      </c>
      <c r="Q33">
        <v>208373.4602</v>
      </c>
      <c r="R33">
        <v>9063891.5</v>
      </c>
      <c r="S33">
        <v>0.269526616</v>
      </c>
      <c r="T33">
        <v>11620208</v>
      </c>
      <c r="U33">
        <v>0.83342260300000004</v>
      </c>
      <c r="V33">
        <v>7.0703599999999997E-4</v>
      </c>
      <c r="W33">
        <v>1.476782772</v>
      </c>
      <c r="X33">
        <v>80.403075110000003</v>
      </c>
      <c r="Y33">
        <v>3308.8420590000001</v>
      </c>
      <c r="Z33">
        <v>2160.1425060000001</v>
      </c>
      <c r="AA33">
        <v>0.17450089999999999</v>
      </c>
      <c r="AB33">
        <v>62.450270000000003</v>
      </c>
      <c r="AC33">
        <v>53.341112010000003</v>
      </c>
      <c r="AD33">
        <v>14.47399495</v>
      </c>
      <c r="AE33">
        <v>98.635732469999994</v>
      </c>
      <c r="AF33">
        <v>38.670664940000002</v>
      </c>
      <c r="AG33">
        <v>111.84655619999999</v>
      </c>
      <c r="AH33">
        <v>48.519255919999999</v>
      </c>
      <c r="AI33">
        <v>18.843411270000001</v>
      </c>
      <c r="AJ33">
        <v>8.3914599999999999E-3</v>
      </c>
      <c r="AK33">
        <v>309.4854929</v>
      </c>
      <c r="AL33">
        <v>6.5272094660000004</v>
      </c>
      <c r="AM33">
        <v>0.55099032299999995</v>
      </c>
      <c r="AN33">
        <v>0.44210104700000002</v>
      </c>
      <c r="AO33">
        <v>0.96712448299999998</v>
      </c>
      <c r="AP33">
        <v>0.195454187</v>
      </c>
    </row>
    <row r="34" spans="1:42" x14ac:dyDescent="0.2">
      <c r="A34" s="1" t="s">
        <v>126</v>
      </c>
      <c r="B34" s="1" t="s">
        <v>128</v>
      </c>
      <c r="C34" s="1">
        <v>489</v>
      </c>
      <c r="D34" s="1">
        <v>257</v>
      </c>
      <c r="E34" s="1">
        <v>746</v>
      </c>
      <c r="F34" s="1" t="s">
        <v>127</v>
      </c>
      <c r="G34">
        <v>129</v>
      </c>
      <c r="H34">
        <v>47</v>
      </c>
      <c r="I34">
        <v>0</v>
      </c>
      <c r="J34">
        <f t="shared" si="0"/>
        <v>176</v>
      </c>
      <c r="K34">
        <v>23.311846280000001</v>
      </c>
      <c r="L34">
        <v>37.826850460000003</v>
      </c>
      <c r="M34">
        <v>46.843465309999999</v>
      </c>
      <c r="N34">
        <v>3289</v>
      </c>
      <c r="O34">
        <v>3357</v>
      </c>
      <c r="P34">
        <v>4176528</v>
      </c>
      <c r="Q34">
        <v>151307.86429999999</v>
      </c>
      <c r="R34">
        <v>8915924.5</v>
      </c>
      <c r="S34">
        <v>0.46843465299999998</v>
      </c>
      <c r="T34">
        <v>11041173</v>
      </c>
      <c r="U34">
        <v>0.97974381899999996</v>
      </c>
      <c r="V34">
        <v>2.2924629999999998E-3</v>
      </c>
      <c r="W34">
        <v>1.382851276</v>
      </c>
      <c r="X34">
        <v>67.382941349999996</v>
      </c>
      <c r="Y34">
        <v>3263.7510109999998</v>
      </c>
      <c r="Z34">
        <v>2859.7631179999998</v>
      </c>
      <c r="AA34">
        <v>0.18181311999999999</v>
      </c>
      <c r="AB34">
        <v>324.91248000000002</v>
      </c>
      <c r="AC34">
        <v>52.743311910000003</v>
      </c>
      <c r="AD34">
        <v>14.51079243</v>
      </c>
      <c r="AE34">
        <v>103.003823</v>
      </c>
      <c r="AF34">
        <v>37.046765239999999</v>
      </c>
      <c r="AG34">
        <v>124.08133770000001</v>
      </c>
      <c r="AH34">
        <v>51.140480740000001</v>
      </c>
      <c r="AI34">
        <v>22.65467872</v>
      </c>
      <c r="AJ34">
        <v>1.2354759999999999E-2</v>
      </c>
      <c r="AK34">
        <v>434.95099060000001</v>
      </c>
      <c r="AL34">
        <v>9.0221388230000006</v>
      </c>
      <c r="AM34">
        <v>0.42846247399999998</v>
      </c>
      <c r="AN34">
        <v>0.31253156199999998</v>
      </c>
      <c r="AO34">
        <v>0.96093521800000004</v>
      </c>
      <c r="AP34">
        <v>9.7676943000000002E-2</v>
      </c>
    </row>
    <row r="35" spans="1:42" x14ac:dyDescent="0.2">
      <c r="A35" s="1" t="s">
        <v>126</v>
      </c>
      <c r="B35" s="1" t="s">
        <v>130</v>
      </c>
      <c r="C35" s="1">
        <v>505</v>
      </c>
      <c r="D35" s="1">
        <v>146</v>
      </c>
      <c r="E35" s="1">
        <v>651</v>
      </c>
      <c r="F35" s="1" t="s">
        <v>129</v>
      </c>
      <c r="G35">
        <v>254</v>
      </c>
      <c r="H35">
        <v>58</v>
      </c>
      <c r="I35">
        <v>0</v>
      </c>
      <c r="J35">
        <f t="shared" si="0"/>
        <v>312</v>
      </c>
      <c r="K35">
        <v>21.316680420000001</v>
      </c>
      <c r="L35">
        <v>27.695656970000002</v>
      </c>
      <c r="M35">
        <v>33.845425370000001</v>
      </c>
      <c r="N35">
        <v>3456</v>
      </c>
      <c r="O35">
        <v>3990</v>
      </c>
      <c r="P35">
        <v>3819076</v>
      </c>
      <c r="Q35">
        <v>302089.24369999999</v>
      </c>
      <c r="R35">
        <v>11283876.5</v>
      </c>
      <c r="S35">
        <v>0.33845425400000001</v>
      </c>
      <c r="T35">
        <v>13789440</v>
      </c>
      <c r="U35">
        <v>0.86616541400000002</v>
      </c>
      <c r="V35">
        <v>5.2589300000000004E-4</v>
      </c>
      <c r="W35">
        <v>1.48225651</v>
      </c>
      <c r="X35">
        <v>-149.84954740000001</v>
      </c>
      <c r="Y35">
        <v>3481.6140740000001</v>
      </c>
      <c r="Z35">
        <v>3285.7871650000002</v>
      </c>
      <c r="AA35">
        <v>0.18656884000000001</v>
      </c>
      <c r="AB35">
        <v>312.09143</v>
      </c>
      <c r="AC35">
        <v>52.058580139999997</v>
      </c>
      <c r="AD35">
        <v>14.444214779999999</v>
      </c>
      <c r="AE35">
        <v>105.3401176</v>
      </c>
      <c r="AF35">
        <v>39.93025471</v>
      </c>
      <c r="AG35">
        <v>113.4689896</v>
      </c>
      <c r="AH35">
        <v>48.830591939999998</v>
      </c>
      <c r="AI35">
        <v>24.135785720000001</v>
      </c>
      <c r="AJ35">
        <v>1.1233084000000001E-2</v>
      </c>
      <c r="AK35">
        <v>386.53590530000002</v>
      </c>
      <c r="AL35">
        <v>7.9401276770000004</v>
      </c>
      <c r="AM35">
        <v>0.48769497899999997</v>
      </c>
      <c r="AN35">
        <v>0.36845052900000003</v>
      </c>
      <c r="AO35">
        <v>0.95691663400000004</v>
      </c>
      <c r="AP35">
        <v>0.13575669800000001</v>
      </c>
    </row>
    <row r="36" spans="1:42" x14ac:dyDescent="0.2">
      <c r="A36" s="1" t="s">
        <v>96</v>
      </c>
      <c r="B36" s="1" t="s">
        <v>132</v>
      </c>
      <c r="C36" s="1">
        <v>1751</v>
      </c>
      <c r="D36" s="1">
        <v>448</v>
      </c>
      <c r="E36" s="1">
        <v>2199</v>
      </c>
      <c r="F36" s="1" t="s">
        <v>131</v>
      </c>
      <c r="G36">
        <v>352</v>
      </c>
      <c r="H36">
        <v>58</v>
      </c>
      <c r="I36">
        <v>0</v>
      </c>
      <c r="J36">
        <f t="shared" si="0"/>
        <v>410</v>
      </c>
      <c r="K36">
        <v>10.60972419</v>
      </c>
      <c r="L36">
        <v>16.144237400000002</v>
      </c>
      <c r="M36">
        <v>23.132079820000001</v>
      </c>
      <c r="N36">
        <v>3114</v>
      </c>
      <c r="O36">
        <v>3781</v>
      </c>
      <c r="P36">
        <v>1900828</v>
      </c>
      <c r="Q36">
        <v>253599.16130000001</v>
      </c>
      <c r="R36">
        <v>8217281</v>
      </c>
      <c r="S36">
        <v>0.23132079799999999</v>
      </c>
      <c r="T36">
        <v>11774034</v>
      </c>
      <c r="U36">
        <v>0.82359164200000001</v>
      </c>
      <c r="V36">
        <v>3.7141300000000002E-4</v>
      </c>
      <c r="W36">
        <v>1.529584823</v>
      </c>
      <c r="X36">
        <v>171.8453672</v>
      </c>
      <c r="Y36">
        <v>2931.7046959999998</v>
      </c>
      <c r="Z36">
        <v>2540.2097509999999</v>
      </c>
      <c r="AA36">
        <v>0.18049652999999999</v>
      </c>
      <c r="AB36">
        <v>3.8708602999999999</v>
      </c>
      <c r="AC36">
        <v>48.442337760000001</v>
      </c>
      <c r="AD36">
        <v>12.637316419999999</v>
      </c>
      <c r="AE36">
        <v>105.0749584</v>
      </c>
      <c r="AF36">
        <v>41.146124639999996</v>
      </c>
      <c r="AG36">
        <v>102.19443889999999</v>
      </c>
      <c r="AH36">
        <v>41.433891529999997</v>
      </c>
      <c r="AI36">
        <v>29.573217570000001</v>
      </c>
      <c r="AJ36">
        <v>6.6812989999999999E-3</v>
      </c>
      <c r="AK36">
        <v>295.34299379999999</v>
      </c>
      <c r="AL36">
        <v>6.1950202770000002</v>
      </c>
      <c r="AM36">
        <v>0.61483290999999995</v>
      </c>
      <c r="AN36">
        <v>0.52786358200000005</v>
      </c>
      <c r="AO36">
        <v>0.96196542200000001</v>
      </c>
      <c r="AP36">
        <v>0.27864076700000001</v>
      </c>
    </row>
    <row r="37" spans="1:42" x14ac:dyDescent="0.2">
      <c r="A37" s="1" t="s">
        <v>99</v>
      </c>
      <c r="B37" s="1" t="s">
        <v>134</v>
      </c>
      <c r="C37" s="1">
        <v>2653</v>
      </c>
      <c r="D37" s="1">
        <v>380</v>
      </c>
      <c r="E37" s="1">
        <v>3033</v>
      </c>
      <c r="F37" s="1" t="s">
        <v>133</v>
      </c>
      <c r="G37">
        <v>205</v>
      </c>
      <c r="H37">
        <v>17</v>
      </c>
      <c r="I37">
        <v>0</v>
      </c>
      <c r="J37">
        <f t="shared" si="0"/>
        <v>222</v>
      </c>
      <c r="K37">
        <v>32.053236050000002</v>
      </c>
      <c r="L37">
        <v>39.572273330000002</v>
      </c>
      <c r="M37">
        <v>43.067166380000003</v>
      </c>
      <c r="N37">
        <v>3456</v>
      </c>
      <c r="O37">
        <v>4199</v>
      </c>
      <c r="P37">
        <v>5742627</v>
      </c>
      <c r="Q37">
        <v>282376.21500000003</v>
      </c>
      <c r="R37">
        <v>13334118.5</v>
      </c>
      <c r="S37">
        <v>0.43067166400000001</v>
      </c>
      <c r="T37">
        <v>14511744</v>
      </c>
      <c r="U37">
        <v>0.82305310799999998</v>
      </c>
      <c r="V37">
        <v>9.0503299999999997E-4</v>
      </c>
      <c r="W37">
        <v>1.4347355449999999</v>
      </c>
      <c r="X37">
        <v>142.22190639999999</v>
      </c>
      <c r="Y37">
        <v>4197.8944350000002</v>
      </c>
      <c r="Z37">
        <v>3475.3608840000002</v>
      </c>
      <c r="AA37">
        <v>0.19553734</v>
      </c>
      <c r="AB37">
        <v>184.47522000000001</v>
      </c>
      <c r="AC37">
        <v>51.819325370000001</v>
      </c>
      <c r="AD37">
        <v>13.93477077</v>
      </c>
      <c r="AE37">
        <v>109.8549883</v>
      </c>
      <c r="AF37">
        <v>40.346085129999999</v>
      </c>
      <c r="AG37">
        <v>117.1501983</v>
      </c>
      <c r="AH37">
        <v>51.361290179999997</v>
      </c>
      <c r="AI37">
        <v>22.336293130000001</v>
      </c>
      <c r="AJ37">
        <v>7.122176E-3</v>
      </c>
      <c r="AK37">
        <v>372.72690260000002</v>
      </c>
      <c r="AL37">
        <v>8.3220200080000009</v>
      </c>
      <c r="AM37">
        <v>0.33634538800000002</v>
      </c>
      <c r="AN37">
        <v>0.12957507800000001</v>
      </c>
      <c r="AO37">
        <v>0.96277649700000001</v>
      </c>
      <c r="AP37">
        <v>1.6790267000000001E-2</v>
      </c>
    </row>
    <row r="38" spans="1:42" x14ac:dyDescent="0.2">
      <c r="A38" s="1" t="s">
        <v>102</v>
      </c>
      <c r="B38" s="1" t="s">
        <v>136</v>
      </c>
      <c r="C38" s="1">
        <v>391</v>
      </c>
      <c r="D38" s="1">
        <v>208</v>
      </c>
      <c r="E38" s="1">
        <v>599</v>
      </c>
      <c r="F38" s="1" t="s">
        <v>135</v>
      </c>
      <c r="G38">
        <v>107</v>
      </c>
      <c r="H38">
        <v>50</v>
      </c>
      <c r="I38">
        <v>0</v>
      </c>
      <c r="J38">
        <f t="shared" si="0"/>
        <v>157</v>
      </c>
      <c r="K38">
        <v>36.746937250000002</v>
      </c>
      <c r="L38">
        <v>41.990888040000002</v>
      </c>
      <c r="M38">
        <v>48.73562708</v>
      </c>
      <c r="N38">
        <v>3433</v>
      </c>
      <c r="O38">
        <v>4567</v>
      </c>
      <c r="P38">
        <v>6583546</v>
      </c>
      <c r="Q38">
        <v>175727.19959999999</v>
      </c>
      <c r="R38">
        <v>13508692.5</v>
      </c>
      <c r="S38">
        <v>0.48735627100000001</v>
      </c>
      <c r="T38">
        <v>15678511</v>
      </c>
      <c r="U38">
        <v>0.75169695599999997</v>
      </c>
      <c r="V38">
        <v>2.6791179999999999E-3</v>
      </c>
      <c r="W38">
        <v>1.3618263020000001</v>
      </c>
      <c r="X38">
        <v>133.50649999999999</v>
      </c>
      <c r="Y38">
        <v>4067.2353130000001</v>
      </c>
      <c r="Z38">
        <v>3303.5054919999998</v>
      </c>
      <c r="AA38">
        <v>0.21573982</v>
      </c>
      <c r="AB38">
        <v>128.77575999999999</v>
      </c>
      <c r="AC38">
        <v>52.593067470000001</v>
      </c>
      <c r="AD38">
        <v>12.897176440000001</v>
      </c>
      <c r="AE38">
        <v>114.8740481</v>
      </c>
      <c r="AF38">
        <v>36.008828860000001</v>
      </c>
      <c r="AG38">
        <v>117.3991223</v>
      </c>
      <c r="AH38">
        <v>53.195403290000002</v>
      </c>
      <c r="AI38">
        <v>18.895409860000001</v>
      </c>
      <c r="AJ38">
        <v>4.9973070000000003E-3</v>
      </c>
      <c r="AK38">
        <v>309.16863530000001</v>
      </c>
      <c r="AL38">
        <v>7.1991742810000003</v>
      </c>
      <c r="AM38">
        <v>0.41749067499999998</v>
      </c>
      <c r="AN38">
        <v>0.24909743500000001</v>
      </c>
      <c r="AO38">
        <v>0.97122483999999998</v>
      </c>
      <c r="AP38">
        <v>6.2050010000000003E-2</v>
      </c>
    </row>
    <row r="39" spans="1:42" x14ac:dyDescent="0.2">
      <c r="A39" t="s">
        <v>105</v>
      </c>
      <c r="B39" t="s">
        <v>138</v>
      </c>
      <c r="C39">
        <v>213</v>
      </c>
      <c r="D39">
        <v>235</v>
      </c>
      <c r="E39">
        <v>448</v>
      </c>
      <c r="F39" t="s">
        <v>137</v>
      </c>
      <c r="G39">
        <v>65</v>
      </c>
      <c r="H39">
        <v>60</v>
      </c>
      <c r="I39">
        <v>0</v>
      </c>
      <c r="J39">
        <f t="shared" si="0"/>
        <v>125</v>
      </c>
      <c r="K39">
        <v>32.210353439999999</v>
      </c>
      <c r="L39">
        <v>32.297576829999997</v>
      </c>
      <c r="M39">
        <v>42.583421199999997</v>
      </c>
      <c r="N39">
        <v>3456</v>
      </c>
      <c r="O39">
        <v>5170</v>
      </c>
      <c r="P39">
        <v>5770776</v>
      </c>
      <c r="Q39">
        <v>250399.7941</v>
      </c>
      <c r="R39">
        <v>13551696.5</v>
      </c>
      <c r="S39">
        <v>0.42583421199999999</v>
      </c>
      <c r="T39">
        <v>17867520</v>
      </c>
      <c r="U39">
        <v>0.66847195400000003</v>
      </c>
      <c r="V39">
        <v>1.1565810000000001E-3</v>
      </c>
      <c r="W39">
        <v>1.4188456789999999</v>
      </c>
      <c r="X39">
        <v>129.4120313</v>
      </c>
      <c r="Y39">
        <v>4224.2073140000002</v>
      </c>
      <c r="Z39">
        <v>3279.2526939999998</v>
      </c>
      <c r="AA39">
        <v>0.1909815</v>
      </c>
      <c r="AB39">
        <v>152.76614000000001</v>
      </c>
      <c r="AC39">
        <v>55.017310500000001</v>
      </c>
      <c r="AD39">
        <v>14.531722439999999</v>
      </c>
      <c r="AE39">
        <v>105.1498502</v>
      </c>
      <c r="AF39">
        <v>36.436473169999999</v>
      </c>
      <c r="AG39">
        <v>117.4568951</v>
      </c>
      <c r="AH39">
        <v>51.595189810000001</v>
      </c>
      <c r="AI39">
        <v>15.771223839999999</v>
      </c>
      <c r="AJ39">
        <v>1.1228992E-2</v>
      </c>
      <c r="AK39">
        <v>351.3451594</v>
      </c>
      <c r="AL39">
        <v>7.1372705840000004</v>
      </c>
      <c r="AM39">
        <v>0.48500387099999998</v>
      </c>
      <c r="AN39">
        <v>0.34975343599999997</v>
      </c>
      <c r="AO39">
        <v>0.96698115900000003</v>
      </c>
      <c r="AP39">
        <v>0.122327966</v>
      </c>
    </row>
    <row r="40" spans="1:42" x14ac:dyDescent="0.2">
      <c r="A40" t="s">
        <v>108</v>
      </c>
      <c r="B40" t="s">
        <v>140</v>
      </c>
      <c r="C40">
        <v>1494</v>
      </c>
      <c r="D40">
        <v>465</v>
      </c>
      <c r="E40">
        <v>1959</v>
      </c>
      <c r="F40" t="s">
        <v>139</v>
      </c>
      <c r="G40">
        <v>290</v>
      </c>
      <c r="H40">
        <v>30</v>
      </c>
      <c r="I40">
        <v>0</v>
      </c>
      <c r="J40">
        <f t="shared" si="0"/>
        <v>320</v>
      </c>
      <c r="K40">
        <v>35.099652239999998</v>
      </c>
      <c r="L40">
        <v>35.099652239999998</v>
      </c>
      <c r="M40">
        <v>37.57651379</v>
      </c>
      <c r="N40">
        <v>3456</v>
      </c>
      <c r="O40">
        <v>5184</v>
      </c>
      <c r="P40">
        <v>6288420</v>
      </c>
      <c r="Q40">
        <v>308051.5662</v>
      </c>
      <c r="R40">
        <v>16734974.5</v>
      </c>
      <c r="S40">
        <v>0.375765138</v>
      </c>
      <c r="T40">
        <v>17915904</v>
      </c>
      <c r="U40">
        <v>0.66666666699999999</v>
      </c>
      <c r="V40">
        <v>8.3273099999999997E-4</v>
      </c>
      <c r="W40">
        <v>1.4375328590000001</v>
      </c>
      <c r="X40">
        <v>179.6453133</v>
      </c>
      <c r="Y40">
        <v>4399.2856650000003</v>
      </c>
      <c r="Z40">
        <v>3867.7716300000002</v>
      </c>
      <c r="AA40">
        <v>0.20019129999999999</v>
      </c>
      <c r="AB40">
        <v>85.449776</v>
      </c>
      <c r="AC40">
        <v>49.486852020000001</v>
      </c>
      <c r="AD40">
        <v>12.80553956</v>
      </c>
      <c r="AE40">
        <v>113.226918</v>
      </c>
      <c r="AF40">
        <v>42.182535510000001</v>
      </c>
      <c r="AG40">
        <v>123.5528254</v>
      </c>
      <c r="AH40">
        <v>51.755854470000003</v>
      </c>
      <c r="AI40">
        <v>26.80630429</v>
      </c>
      <c r="AJ40">
        <v>5.3590570000000004E-3</v>
      </c>
      <c r="AK40">
        <v>351.11988769999999</v>
      </c>
      <c r="AL40">
        <v>7.681145098</v>
      </c>
      <c r="AM40">
        <v>0.389986416</v>
      </c>
      <c r="AN40">
        <v>0.20699119399999999</v>
      </c>
      <c r="AO40">
        <v>0.96806082999999998</v>
      </c>
      <c r="AP40">
        <v>4.2846118000000002E-2</v>
      </c>
    </row>
    <row r="41" spans="1:42" x14ac:dyDescent="0.2">
      <c r="A41" t="s">
        <v>111</v>
      </c>
      <c r="B41" t="s">
        <v>142</v>
      </c>
      <c r="C41">
        <v>1195</v>
      </c>
      <c r="D41">
        <v>425</v>
      </c>
      <c r="E41">
        <v>1620</v>
      </c>
      <c r="F41" t="s">
        <v>141</v>
      </c>
      <c r="G41">
        <v>172</v>
      </c>
      <c r="H41">
        <v>60</v>
      </c>
      <c r="I41">
        <v>0</v>
      </c>
      <c r="J41">
        <f t="shared" si="0"/>
        <v>232</v>
      </c>
      <c r="K41">
        <v>13.192915080000001</v>
      </c>
      <c r="L41">
        <v>16.52231841</v>
      </c>
      <c r="M41">
        <v>20.741367230000002</v>
      </c>
      <c r="N41">
        <v>2960</v>
      </c>
      <c r="O41">
        <v>4833</v>
      </c>
      <c r="P41">
        <v>2363630</v>
      </c>
      <c r="Q41">
        <v>287626.37839999999</v>
      </c>
      <c r="R41">
        <v>11395729</v>
      </c>
      <c r="S41">
        <v>0.20741367199999999</v>
      </c>
      <c r="T41">
        <v>14305680</v>
      </c>
      <c r="U41">
        <v>0.61245603100000001</v>
      </c>
      <c r="V41">
        <v>3.59031E-4</v>
      </c>
      <c r="W41">
        <v>1.5240317400000001</v>
      </c>
      <c r="X41">
        <v>174.80691400000001</v>
      </c>
      <c r="Y41">
        <v>4007.5718649999999</v>
      </c>
      <c r="Z41">
        <v>2723.5376940000001</v>
      </c>
      <c r="AA41">
        <v>0.18085255</v>
      </c>
      <c r="AB41">
        <v>191.02708000000001</v>
      </c>
      <c r="AC41">
        <v>51.612155029999997</v>
      </c>
      <c r="AD41">
        <v>13.84085908</v>
      </c>
      <c r="AE41">
        <v>102.5942728</v>
      </c>
      <c r="AF41">
        <v>40.587633859999997</v>
      </c>
      <c r="AG41">
        <v>108.2178514</v>
      </c>
      <c r="AH41">
        <v>42.626257010000003</v>
      </c>
      <c r="AI41">
        <v>21.41109226</v>
      </c>
      <c r="AJ41">
        <v>1.6330813E-2</v>
      </c>
      <c r="AK41">
        <v>325.30548540000001</v>
      </c>
      <c r="AL41">
        <v>6.6554580689999998</v>
      </c>
      <c r="AM41">
        <v>0.52701165100000003</v>
      </c>
      <c r="AN41">
        <v>0.37122443100000002</v>
      </c>
      <c r="AO41">
        <v>0.96085018899999997</v>
      </c>
      <c r="AP41">
        <v>0.137808506</v>
      </c>
    </row>
    <row r="42" spans="1:42" x14ac:dyDescent="0.2">
      <c r="A42" t="s">
        <v>114</v>
      </c>
      <c r="B42" t="s">
        <v>144</v>
      </c>
      <c r="C42">
        <v>1143</v>
      </c>
      <c r="D42">
        <v>393</v>
      </c>
      <c r="E42">
        <v>1534</v>
      </c>
      <c r="F42" t="s">
        <v>143</v>
      </c>
      <c r="G42">
        <v>188</v>
      </c>
      <c r="H42">
        <v>66</v>
      </c>
      <c r="I42">
        <v>0</v>
      </c>
      <c r="J42">
        <f t="shared" si="0"/>
        <v>254</v>
      </c>
      <c r="K42">
        <v>38.615076299999998</v>
      </c>
      <c r="L42">
        <v>39.013945730000003</v>
      </c>
      <c r="M42">
        <v>41.38744595</v>
      </c>
      <c r="N42">
        <v>3456</v>
      </c>
      <c r="O42">
        <v>5131</v>
      </c>
      <c r="P42">
        <v>6918240</v>
      </c>
      <c r="Q42">
        <v>271183.46380000003</v>
      </c>
      <c r="R42">
        <v>16715793.5</v>
      </c>
      <c r="S42">
        <v>0.41387446</v>
      </c>
      <c r="T42">
        <v>17732736</v>
      </c>
      <c r="U42">
        <v>0.67355291399999995</v>
      </c>
      <c r="V42">
        <v>1.1821679999999999E-3</v>
      </c>
      <c r="W42">
        <v>1.4126334220000001</v>
      </c>
      <c r="X42">
        <v>175.11094779999999</v>
      </c>
      <c r="Y42">
        <v>4471.3574490000001</v>
      </c>
      <c r="Z42">
        <v>3947.8080530000002</v>
      </c>
      <c r="AA42">
        <v>0.20367383999999999</v>
      </c>
      <c r="AB42">
        <v>77.685699999999997</v>
      </c>
      <c r="AC42">
        <v>48.21200537</v>
      </c>
      <c r="AD42">
        <v>11.33860643</v>
      </c>
      <c r="AE42">
        <v>114.2028019</v>
      </c>
      <c r="AF42">
        <v>38.276875789999998</v>
      </c>
      <c r="AG42">
        <v>132.8796036</v>
      </c>
      <c r="AH42">
        <v>57.982634249999997</v>
      </c>
      <c r="AI42">
        <v>27.259187310000002</v>
      </c>
      <c r="AJ42">
        <v>3.3679090000000001E-3</v>
      </c>
      <c r="AK42">
        <v>318.01835249999999</v>
      </c>
      <c r="AL42">
        <v>6.9949351289999999</v>
      </c>
      <c r="AM42">
        <v>0.41623505700000002</v>
      </c>
      <c r="AN42">
        <v>0.245937035</v>
      </c>
      <c r="AO42">
        <v>0.97621831699999995</v>
      </c>
      <c r="AP42">
        <v>6.0485696999999998E-2</v>
      </c>
    </row>
    <row r="43" spans="1:42" x14ac:dyDescent="0.2">
      <c r="A43" t="s">
        <v>117</v>
      </c>
      <c r="B43" t="s">
        <v>146</v>
      </c>
      <c r="C43">
        <v>834</v>
      </c>
      <c r="D43">
        <v>296</v>
      </c>
      <c r="E43">
        <v>1130</v>
      </c>
      <c r="F43" t="s">
        <v>145</v>
      </c>
      <c r="G43">
        <v>306</v>
      </c>
      <c r="H43">
        <v>74</v>
      </c>
      <c r="I43">
        <v>0</v>
      </c>
      <c r="J43">
        <f t="shared" si="0"/>
        <v>380</v>
      </c>
      <c r="K43">
        <v>7.6827995949999996</v>
      </c>
      <c r="L43">
        <v>18.980203100000001</v>
      </c>
      <c r="M43">
        <v>25.260532390000002</v>
      </c>
      <c r="N43">
        <v>2709</v>
      </c>
      <c r="O43">
        <v>2677</v>
      </c>
      <c r="P43">
        <v>1376443</v>
      </c>
      <c r="Q43">
        <v>139477.19930000001</v>
      </c>
      <c r="R43">
        <v>5448986.5</v>
      </c>
      <c r="S43">
        <v>0.25260532400000002</v>
      </c>
      <c r="T43">
        <v>7251993</v>
      </c>
      <c r="U43">
        <v>1.0119536790000001</v>
      </c>
      <c r="V43">
        <v>8.8912300000000002E-4</v>
      </c>
      <c r="W43">
        <v>1.4799225039999999</v>
      </c>
      <c r="X43">
        <v>114.3508027</v>
      </c>
      <c r="Y43">
        <v>2385.6847969999999</v>
      </c>
      <c r="Z43">
        <v>1987.6353300000001</v>
      </c>
      <c r="AA43">
        <v>0.18794583000000001</v>
      </c>
      <c r="AB43">
        <v>35.061869999999999</v>
      </c>
      <c r="AC43">
        <v>47.568943279999999</v>
      </c>
      <c r="AD43">
        <v>11.211398669999999</v>
      </c>
      <c r="AE43">
        <v>107.7500921</v>
      </c>
      <c r="AF43">
        <v>39.156733789999997</v>
      </c>
      <c r="AG43">
        <v>114.32296719999999</v>
      </c>
      <c r="AH43">
        <v>48.526915260000003</v>
      </c>
      <c r="AI43">
        <v>28.439899069999999</v>
      </c>
      <c r="AJ43">
        <v>1.4530210000000001E-3</v>
      </c>
      <c r="AK43">
        <v>322.1988652</v>
      </c>
      <c r="AL43">
        <v>6.6431458750000001</v>
      </c>
      <c r="AM43">
        <v>0.50859458400000002</v>
      </c>
      <c r="AN43">
        <v>0.33729941600000002</v>
      </c>
      <c r="AO43">
        <v>0.96303691700000005</v>
      </c>
      <c r="AP43">
        <v>0.11377184799999999</v>
      </c>
    </row>
    <row r="44" spans="1:42" x14ac:dyDescent="0.2">
      <c r="A44" t="s">
        <v>120</v>
      </c>
      <c r="B44" t="s">
        <v>148</v>
      </c>
      <c r="C44">
        <v>3321</v>
      </c>
      <c r="D44">
        <v>423</v>
      </c>
      <c r="E44">
        <v>3744</v>
      </c>
      <c r="F44" t="s">
        <v>147</v>
      </c>
      <c r="G44">
        <v>469</v>
      </c>
      <c r="H44">
        <v>43</v>
      </c>
      <c r="I44">
        <v>0</v>
      </c>
      <c r="J44">
        <f t="shared" si="0"/>
        <v>512</v>
      </c>
      <c r="K44">
        <v>29.79552692</v>
      </c>
      <c r="L44">
        <v>36.90800754</v>
      </c>
      <c r="M44">
        <v>41.385986920000001</v>
      </c>
      <c r="N44">
        <v>3456</v>
      </c>
      <c r="O44">
        <v>4185</v>
      </c>
      <c r="P44">
        <v>5338138</v>
      </c>
      <c r="Q44">
        <v>284566.9535</v>
      </c>
      <c r="R44">
        <v>12898419</v>
      </c>
      <c r="S44">
        <v>0.41385986899999999</v>
      </c>
      <c r="T44">
        <v>14463360</v>
      </c>
      <c r="U44">
        <v>0.82580645200000002</v>
      </c>
      <c r="V44">
        <v>8.2838200000000001E-4</v>
      </c>
      <c r="W44">
        <v>1.442498389</v>
      </c>
      <c r="X44">
        <v>-139.16339009999999</v>
      </c>
      <c r="Y44">
        <v>3776.463381</v>
      </c>
      <c r="Z44">
        <v>3599.6555840000001</v>
      </c>
      <c r="AA44">
        <v>0.19960887999999999</v>
      </c>
      <c r="AB44">
        <v>93.503119999999996</v>
      </c>
      <c r="AC44">
        <v>49.051914539999999</v>
      </c>
      <c r="AD44">
        <v>12.09717493</v>
      </c>
      <c r="AE44">
        <v>112.067712</v>
      </c>
      <c r="AF44">
        <v>42.530795009999999</v>
      </c>
      <c r="AG44">
        <v>125.37337119999999</v>
      </c>
      <c r="AH44">
        <v>52.082349239999999</v>
      </c>
      <c r="AI44">
        <v>24.617029380000002</v>
      </c>
      <c r="AJ44">
        <v>4.2898850000000002E-3</v>
      </c>
      <c r="AK44">
        <v>395.76991040000001</v>
      </c>
      <c r="AL44">
        <v>8.625870119</v>
      </c>
      <c r="AM44">
        <v>0.402520245</v>
      </c>
      <c r="AN44">
        <v>0.258614803</v>
      </c>
      <c r="AO44">
        <v>0.96388073299999999</v>
      </c>
      <c r="AP44">
        <v>6.6882171000000004E-2</v>
      </c>
    </row>
    <row r="45" spans="1:42" x14ac:dyDescent="0.2">
      <c r="A45" t="s">
        <v>149</v>
      </c>
      <c r="B45" t="s">
        <v>151</v>
      </c>
      <c r="C45">
        <v>303</v>
      </c>
      <c r="D45">
        <v>230</v>
      </c>
      <c r="E45">
        <v>533</v>
      </c>
      <c r="F45" t="s">
        <v>150</v>
      </c>
      <c r="G45">
        <v>59</v>
      </c>
      <c r="H45">
        <v>38</v>
      </c>
      <c r="I45">
        <v>0</v>
      </c>
      <c r="J45">
        <f t="shared" si="0"/>
        <v>97</v>
      </c>
      <c r="K45">
        <v>28.416824519999999</v>
      </c>
      <c r="L45">
        <v>35.172948910000002</v>
      </c>
      <c r="M45">
        <v>47.156204819999999</v>
      </c>
      <c r="N45">
        <v>3218</v>
      </c>
      <c r="O45">
        <v>4498</v>
      </c>
      <c r="P45">
        <v>5091131</v>
      </c>
      <c r="Q45">
        <v>224192.80859999999</v>
      </c>
      <c r="R45">
        <v>10796312</v>
      </c>
      <c r="S45">
        <v>0.47156204800000001</v>
      </c>
      <c r="T45">
        <v>14474564</v>
      </c>
      <c r="U45">
        <v>0.71542908000000005</v>
      </c>
      <c r="V45">
        <v>1.27286E-3</v>
      </c>
      <c r="W45">
        <v>1.416040908</v>
      </c>
      <c r="X45">
        <v>-156.6873473</v>
      </c>
      <c r="Y45">
        <v>4266.9829520000003</v>
      </c>
      <c r="Z45">
        <v>2829.4615079999999</v>
      </c>
      <c r="AA45">
        <v>0.21839075999999999</v>
      </c>
      <c r="AB45">
        <v>45.404502999999998</v>
      </c>
      <c r="AC45">
        <v>48.494264440000002</v>
      </c>
      <c r="AD45">
        <v>11.036812640000001</v>
      </c>
      <c r="AE45">
        <v>119.5305077</v>
      </c>
      <c r="AF45">
        <v>35.489630060000003</v>
      </c>
      <c r="AG45">
        <v>111.61084580000001</v>
      </c>
      <c r="AH45">
        <v>51.879695079999998</v>
      </c>
      <c r="AI45">
        <v>25.09261695</v>
      </c>
      <c r="AJ45">
        <v>3.182004E-3</v>
      </c>
      <c r="AK45">
        <v>286.53458119999999</v>
      </c>
      <c r="AL45">
        <v>6.5030336420000001</v>
      </c>
      <c r="AM45">
        <v>0.48734679600000003</v>
      </c>
      <c r="AN45">
        <v>0.33745028999999999</v>
      </c>
      <c r="AO45">
        <v>0.97270056699999996</v>
      </c>
      <c r="AP45">
        <v>0.113873214</v>
      </c>
    </row>
    <row r="46" spans="1:42" x14ac:dyDescent="0.2">
      <c r="A46" t="s">
        <v>123</v>
      </c>
      <c r="B46" t="s">
        <v>153</v>
      </c>
      <c r="C46">
        <v>1559</v>
      </c>
      <c r="D46">
        <v>578</v>
      </c>
      <c r="E46">
        <v>2137</v>
      </c>
      <c r="F46" t="s">
        <v>152</v>
      </c>
      <c r="G46">
        <v>393</v>
      </c>
      <c r="H46">
        <v>110</v>
      </c>
      <c r="I46">
        <v>0</v>
      </c>
      <c r="J46">
        <f t="shared" si="0"/>
        <v>503</v>
      </c>
      <c r="K46">
        <v>12.74146702</v>
      </c>
      <c r="L46">
        <v>13.926157509999999</v>
      </c>
      <c r="M46">
        <v>16.888333459999998</v>
      </c>
      <c r="N46">
        <v>3456</v>
      </c>
      <c r="O46">
        <v>4743</v>
      </c>
      <c r="P46">
        <v>2282749</v>
      </c>
      <c r="Q46">
        <v>281469.90139999997</v>
      </c>
      <c r="R46">
        <v>13516721.5</v>
      </c>
      <c r="S46">
        <v>0.168883335</v>
      </c>
      <c r="T46">
        <v>16391808</v>
      </c>
      <c r="U46">
        <v>0.72865275100000004</v>
      </c>
      <c r="V46">
        <v>3.6207999999999998E-4</v>
      </c>
      <c r="W46">
        <v>1.5247004369999999</v>
      </c>
      <c r="X46">
        <v>133.83219740000001</v>
      </c>
      <c r="Y46">
        <v>3684.449783</v>
      </c>
      <c r="Z46">
        <v>3295.909052</v>
      </c>
      <c r="AA46">
        <v>0.17752314999999999</v>
      </c>
      <c r="AB46">
        <v>40.070103000000003</v>
      </c>
      <c r="AC46">
        <v>51.155719269999999</v>
      </c>
      <c r="AD46">
        <v>13.98377041</v>
      </c>
      <c r="AE46">
        <v>101.8459577</v>
      </c>
      <c r="AF46">
        <v>42.916553139999998</v>
      </c>
      <c r="AG46">
        <v>110.9886711</v>
      </c>
      <c r="AH46">
        <v>44.225539550000001</v>
      </c>
      <c r="AI46">
        <v>23.701685990000001</v>
      </c>
      <c r="AJ46">
        <v>8.7613659999999996E-3</v>
      </c>
      <c r="AK46">
        <v>286.04774809999998</v>
      </c>
      <c r="AL46">
        <v>5.7709878720000001</v>
      </c>
      <c r="AM46">
        <v>0.61539888799999998</v>
      </c>
      <c r="AN46">
        <v>0.50424639000000004</v>
      </c>
      <c r="AO46">
        <v>0.96815813699999997</v>
      </c>
      <c r="AP46">
        <v>0.25426519600000003</v>
      </c>
    </row>
    <row r="47" spans="1:42" x14ac:dyDescent="0.2">
      <c r="A47" t="s">
        <v>154</v>
      </c>
      <c r="B47" t="s">
        <v>156</v>
      </c>
      <c r="C47">
        <v>947</v>
      </c>
      <c r="D47">
        <v>261</v>
      </c>
      <c r="E47">
        <v>1208</v>
      </c>
      <c r="F47" t="s">
        <v>155</v>
      </c>
      <c r="G47">
        <v>347</v>
      </c>
      <c r="H47">
        <v>26</v>
      </c>
      <c r="I47">
        <v>0</v>
      </c>
      <c r="J47">
        <f t="shared" si="0"/>
        <v>373</v>
      </c>
      <c r="K47">
        <v>9.2203162059999997</v>
      </c>
      <c r="L47">
        <v>24.642057569999999</v>
      </c>
      <c r="M47">
        <v>31.783535260000001</v>
      </c>
      <c r="N47">
        <v>2744</v>
      </c>
      <c r="O47">
        <v>2443</v>
      </c>
      <c r="P47">
        <v>1651903</v>
      </c>
      <c r="Q47">
        <v>177246.05530000001</v>
      </c>
      <c r="R47">
        <v>5197354.5</v>
      </c>
      <c r="S47">
        <v>0.31783535299999999</v>
      </c>
      <c r="T47">
        <v>6703592</v>
      </c>
      <c r="U47">
        <v>1.1232091689999999</v>
      </c>
      <c r="V47">
        <v>6.6075599999999997E-4</v>
      </c>
      <c r="W47">
        <v>1.494541055</v>
      </c>
      <c r="X47">
        <v>84.902695519999995</v>
      </c>
      <c r="Y47">
        <v>2708.7480310000001</v>
      </c>
      <c r="Z47">
        <v>1853.724224</v>
      </c>
      <c r="AA47">
        <v>0.17102471999999999</v>
      </c>
      <c r="AB47">
        <v>21.95035</v>
      </c>
      <c r="AC47">
        <v>45.61594839</v>
      </c>
      <c r="AD47">
        <v>11.215177750000001</v>
      </c>
      <c r="AE47">
        <v>104.0565106</v>
      </c>
      <c r="AF47">
        <v>42.004684339999997</v>
      </c>
      <c r="AG47">
        <v>108.8311202</v>
      </c>
      <c r="AH47">
        <v>45.118359099999999</v>
      </c>
      <c r="AI47">
        <v>37.221555989999999</v>
      </c>
      <c r="AJ47">
        <v>4.1164640000000002E-3</v>
      </c>
      <c r="AK47">
        <v>370.63159259999998</v>
      </c>
      <c r="AL47">
        <v>7.8824965359999997</v>
      </c>
      <c r="AM47">
        <v>0.48417591300000001</v>
      </c>
      <c r="AN47">
        <v>0.35505755700000002</v>
      </c>
      <c r="AO47">
        <v>0.95122810099999999</v>
      </c>
      <c r="AP47">
        <v>0.12606721300000001</v>
      </c>
    </row>
    <row r="48" spans="1:42" x14ac:dyDescent="0.2">
      <c r="A48" t="s">
        <v>154</v>
      </c>
      <c r="B48" t="s">
        <v>158</v>
      </c>
      <c r="C48">
        <v>901</v>
      </c>
      <c r="D48">
        <v>192</v>
      </c>
      <c r="E48">
        <v>1093</v>
      </c>
      <c r="F48" t="s">
        <v>157</v>
      </c>
      <c r="G48">
        <v>221</v>
      </c>
      <c r="H48">
        <v>6</v>
      </c>
      <c r="I48">
        <v>0</v>
      </c>
      <c r="J48">
        <f t="shared" si="0"/>
        <v>227</v>
      </c>
      <c r="K48">
        <v>12.799253670000001</v>
      </c>
      <c r="L48">
        <v>28.261511250000002</v>
      </c>
      <c r="M48">
        <v>37.813824910000001</v>
      </c>
      <c r="N48">
        <v>2417</v>
      </c>
      <c r="O48">
        <v>3357</v>
      </c>
      <c r="P48">
        <v>2293102</v>
      </c>
      <c r="Q48">
        <v>151684.10569999999</v>
      </c>
      <c r="R48">
        <v>6064189.5</v>
      </c>
      <c r="S48">
        <v>0.37813824899999998</v>
      </c>
      <c r="T48">
        <v>8113869</v>
      </c>
      <c r="U48">
        <v>0.719988085</v>
      </c>
      <c r="V48">
        <v>1.252429E-3</v>
      </c>
      <c r="W48">
        <v>1.439803553</v>
      </c>
      <c r="X48">
        <v>-167.96020039999999</v>
      </c>
      <c r="Y48">
        <v>2610.4333860000002</v>
      </c>
      <c r="Z48">
        <v>2305.524508</v>
      </c>
      <c r="AA48">
        <v>0.18638213000000001</v>
      </c>
      <c r="AB48">
        <v>91.312280000000001</v>
      </c>
      <c r="AC48">
        <v>45.920357660000001</v>
      </c>
      <c r="AD48">
        <v>11.502409950000001</v>
      </c>
      <c r="AE48">
        <v>112.2018423</v>
      </c>
      <c r="AF48">
        <v>42.30595186</v>
      </c>
      <c r="AG48">
        <v>109.25189330000001</v>
      </c>
      <c r="AH48">
        <v>43.620333909999999</v>
      </c>
      <c r="AI48">
        <v>39.450316649999998</v>
      </c>
      <c r="AJ48">
        <v>4.8406050000000004E-3</v>
      </c>
      <c r="AK48">
        <v>300.97980580000001</v>
      </c>
      <c r="AL48">
        <v>7.0306087340000003</v>
      </c>
      <c r="AM48">
        <v>0.50442753200000001</v>
      </c>
      <c r="AN48">
        <v>0.38236987700000002</v>
      </c>
      <c r="AO48">
        <v>0.96158533099999999</v>
      </c>
      <c r="AP48">
        <v>0.14620752400000001</v>
      </c>
    </row>
    <row r="49" spans="1:42" x14ac:dyDescent="0.2">
      <c r="A49" t="s">
        <v>159</v>
      </c>
      <c r="B49" t="s">
        <v>161</v>
      </c>
      <c r="C49">
        <v>3292</v>
      </c>
      <c r="D49">
        <v>336</v>
      </c>
      <c r="E49">
        <v>3632</v>
      </c>
      <c r="F49" t="s">
        <v>160</v>
      </c>
      <c r="G49">
        <v>700</v>
      </c>
      <c r="H49">
        <v>8</v>
      </c>
      <c r="I49">
        <v>0</v>
      </c>
      <c r="J49">
        <f t="shared" si="0"/>
        <v>708</v>
      </c>
      <c r="K49">
        <v>25.009449700000001</v>
      </c>
      <c r="L49">
        <v>34.637720350000002</v>
      </c>
      <c r="M49">
        <v>41.620661650000002</v>
      </c>
      <c r="N49">
        <v>3456</v>
      </c>
      <c r="O49">
        <v>3743</v>
      </c>
      <c r="P49">
        <v>4480669</v>
      </c>
      <c r="Q49">
        <v>232650.7623</v>
      </c>
      <c r="R49">
        <v>10765492</v>
      </c>
      <c r="S49">
        <v>0.41620661599999997</v>
      </c>
      <c r="T49">
        <v>12935808</v>
      </c>
      <c r="U49">
        <v>0.92332353700000003</v>
      </c>
      <c r="V49">
        <v>1.0402639999999999E-3</v>
      </c>
      <c r="W49">
        <v>1.4326864779999999</v>
      </c>
      <c r="X49">
        <v>75.229116039999994</v>
      </c>
      <c r="Y49">
        <v>3622.7547530000002</v>
      </c>
      <c r="Z49">
        <v>3218.1356930000002</v>
      </c>
      <c r="AA49">
        <v>0.19527312999999999</v>
      </c>
      <c r="AB49">
        <v>27.611546000000001</v>
      </c>
      <c r="AC49">
        <v>44.307473280000004</v>
      </c>
      <c r="AD49">
        <v>9.5159958570000001</v>
      </c>
      <c r="AE49">
        <v>117.14574140000001</v>
      </c>
      <c r="AF49">
        <v>41.686635420000002</v>
      </c>
      <c r="AG49">
        <v>109.91560680000001</v>
      </c>
      <c r="AH49">
        <v>45.228923790000003</v>
      </c>
      <c r="AI49">
        <v>40.0456048</v>
      </c>
      <c r="AJ49">
        <v>2.2094910000000001E-3</v>
      </c>
      <c r="AK49">
        <v>322.45427030000002</v>
      </c>
      <c r="AL49">
        <v>7.4482012470000001</v>
      </c>
      <c r="AM49">
        <v>0.43870505599999998</v>
      </c>
      <c r="AN49">
        <v>0.28269910999999998</v>
      </c>
      <c r="AO49">
        <v>0.96377914399999998</v>
      </c>
      <c r="AP49">
        <v>7.9919321000000001E-2</v>
      </c>
    </row>
    <row r="50" spans="1:42" x14ac:dyDescent="0.2">
      <c r="A50" t="s">
        <v>159</v>
      </c>
      <c r="B50" t="s">
        <v>163</v>
      </c>
      <c r="C50">
        <v>3593</v>
      </c>
      <c r="D50">
        <v>433</v>
      </c>
      <c r="E50">
        <v>4026</v>
      </c>
      <c r="F50" t="s">
        <v>162</v>
      </c>
      <c r="G50">
        <v>939</v>
      </c>
      <c r="H50">
        <v>17</v>
      </c>
      <c r="I50">
        <v>0</v>
      </c>
      <c r="J50">
        <f t="shared" si="0"/>
        <v>956</v>
      </c>
      <c r="K50">
        <v>27.849780840000001</v>
      </c>
      <c r="L50">
        <v>34.284793129999997</v>
      </c>
      <c r="M50">
        <v>40.512459219999997</v>
      </c>
      <c r="N50">
        <v>3456</v>
      </c>
      <c r="O50">
        <v>4211</v>
      </c>
      <c r="P50">
        <v>4989540</v>
      </c>
      <c r="Q50">
        <v>259053.435</v>
      </c>
      <c r="R50">
        <v>12316063</v>
      </c>
      <c r="S50">
        <v>0.40512459200000001</v>
      </c>
      <c r="T50">
        <v>14553216</v>
      </c>
      <c r="U50">
        <v>0.82070767</v>
      </c>
      <c r="V50">
        <v>9.3431099999999995E-4</v>
      </c>
      <c r="W50">
        <v>1.436633592</v>
      </c>
      <c r="X50">
        <v>121.9419111</v>
      </c>
      <c r="Y50">
        <v>3804.8645750000001</v>
      </c>
      <c r="Z50">
        <v>3236.1976060000002</v>
      </c>
      <c r="AA50">
        <v>0.14538492</v>
      </c>
      <c r="AB50">
        <v>0.17477864000000001</v>
      </c>
      <c r="AC50">
        <v>51.10434068</v>
      </c>
      <c r="AD50">
        <v>11.525957500000001</v>
      </c>
      <c r="AE50">
        <v>83.002091780000001</v>
      </c>
      <c r="AF50">
        <v>31.947270110000002</v>
      </c>
      <c r="AG50">
        <v>89.327032750000001</v>
      </c>
      <c r="AH50">
        <v>28.025352219999998</v>
      </c>
      <c r="AI50">
        <v>15.56891016</v>
      </c>
      <c r="AJ50">
        <v>3.4271700000000002E-3</v>
      </c>
      <c r="AK50">
        <v>196.8930063</v>
      </c>
      <c r="AL50">
        <v>5.5379103609999998</v>
      </c>
      <c r="AM50">
        <v>0.458973617</v>
      </c>
      <c r="AN50">
        <v>0.29901687300000002</v>
      </c>
      <c r="AO50">
        <v>0.97654069700000001</v>
      </c>
      <c r="AP50">
        <v>8.9411431999999999E-2</v>
      </c>
    </row>
    <row r="51" spans="1:42" x14ac:dyDescent="0.2">
      <c r="A51" t="s">
        <v>164</v>
      </c>
      <c r="B51" t="s">
        <v>166</v>
      </c>
      <c r="C51">
        <v>260</v>
      </c>
      <c r="D51">
        <v>57</v>
      </c>
      <c r="E51">
        <v>317</v>
      </c>
      <c r="F51" t="s">
        <v>165</v>
      </c>
      <c r="G51">
        <v>71</v>
      </c>
      <c r="H51">
        <v>19</v>
      </c>
      <c r="I51">
        <v>0</v>
      </c>
      <c r="J51">
        <f t="shared" si="0"/>
        <v>90</v>
      </c>
      <c r="K51">
        <v>6.4852267570000004</v>
      </c>
      <c r="L51">
        <v>17.502365380000001</v>
      </c>
      <c r="M51">
        <v>26.51236128</v>
      </c>
      <c r="N51">
        <v>2429</v>
      </c>
      <c r="O51">
        <v>2733</v>
      </c>
      <c r="P51">
        <v>1161887</v>
      </c>
      <c r="Q51">
        <v>57001.600200000001</v>
      </c>
      <c r="R51">
        <v>4382435</v>
      </c>
      <c r="S51">
        <v>0.26512361299999998</v>
      </c>
      <c r="T51">
        <v>6638457</v>
      </c>
      <c r="U51">
        <v>0.88876692300000004</v>
      </c>
      <c r="V51">
        <v>4.4936539999999997E-3</v>
      </c>
      <c r="W51">
        <v>1.369732832</v>
      </c>
      <c r="X51">
        <v>103.23632720000001</v>
      </c>
      <c r="Y51">
        <v>2224.42524</v>
      </c>
      <c r="Z51">
        <v>1607.9342959999999</v>
      </c>
      <c r="AA51">
        <v>0.21138752</v>
      </c>
      <c r="AB51">
        <v>0.15620945</v>
      </c>
      <c r="AC51">
        <v>43.114258100000001</v>
      </c>
      <c r="AD51">
        <v>7.0906393889999997</v>
      </c>
      <c r="AE51">
        <v>126.0870558</v>
      </c>
      <c r="AF51">
        <v>36.039096620000002</v>
      </c>
      <c r="AG51">
        <v>93.122562689999995</v>
      </c>
      <c r="AH51">
        <v>27.537954859999999</v>
      </c>
      <c r="AI51">
        <v>40.106395890000002</v>
      </c>
      <c r="AJ51">
        <v>1.721338E-3</v>
      </c>
      <c r="AK51">
        <v>125.64584790000001</v>
      </c>
      <c r="AL51">
        <v>2.9005247860000001</v>
      </c>
      <c r="AM51">
        <v>0.71612461000000005</v>
      </c>
      <c r="AN51">
        <v>0.61802017399999998</v>
      </c>
      <c r="AO51">
        <v>0.97545811199999999</v>
      </c>
      <c r="AP51">
        <v>0.38194968400000001</v>
      </c>
    </row>
    <row r="52" spans="1:42" x14ac:dyDescent="0.2">
      <c r="A52" s="1" t="s">
        <v>167</v>
      </c>
      <c r="B52" s="1" t="s">
        <v>169</v>
      </c>
      <c r="C52" s="1">
        <v>184</v>
      </c>
      <c r="D52" s="1">
        <v>56</v>
      </c>
      <c r="E52" s="1">
        <v>240</v>
      </c>
      <c r="F52" s="1" t="s">
        <v>168</v>
      </c>
      <c r="G52">
        <v>99</v>
      </c>
      <c r="H52">
        <v>28</v>
      </c>
      <c r="I52">
        <v>0</v>
      </c>
      <c r="J52">
        <f t="shared" si="0"/>
        <v>127</v>
      </c>
      <c r="K52">
        <v>5.2776404699999997</v>
      </c>
      <c r="L52">
        <v>17.125570530000001</v>
      </c>
      <c r="M52">
        <v>22.847970889999999</v>
      </c>
      <c r="N52">
        <v>2580</v>
      </c>
      <c r="O52">
        <v>2140</v>
      </c>
      <c r="P52">
        <v>945537</v>
      </c>
      <c r="Q52">
        <v>78282.654139999999</v>
      </c>
      <c r="R52">
        <v>4138385</v>
      </c>
      <c r="S52">
        <v>0.228479709</v>
      </c>
      <c r="T52">
        <v>5521200</v>
      </c>
      <c r="U52">
        <v>1.205607477</v>
      </c>
      <c r="V52">
        <v>1.938908E-3</v>
      </c>
      <c r="W52">
        <v>1.4363575719999999</v>
      </c>
      <c r="X52">
        <v>116.9031469</v>
      </c>
      <c r="Y52">
        <v>2413.3779639999998</v>
      </c>
      <c r="Z52">
        <v>1757.130983</v>
      </c>
      <c r="AA52">
        <v>0.18561056000000001</v>
      </c>
      <c r="AB52">
        <v>0.14184652</v>
      </c>
      <c r="AC52">
        <v>43.137104100000002</v>
      </c>
      <c r="AD52">
        <v>7.9311509759999996</v>
      </c>
      <c r="AE52">
        <v>113.6417041</v>
      </c>
      <c r="AF52">
        <v>35.936731139999999</v>
      </c>
      <c r="AG52">
        <v>81.422452000000007</v>
      </c>
      <c r="AH52">
        <v>21.385849610000001</v>
      </c>
      <c r="AI52">
        <v>42.738993819999997</v>
      </c>
      <c r="AJ52">
        <v>1.16336E-3</v>
      </c>
      <c r="AK52">
        <v>81.80157226</v>
      </c>
      <c r="AL52">
        <v>3.184246286</v>
      </c>
      <c r="AM52">
        <v>0.602265367</v>
      </c>
      <c r="AN52">
        <v>0.462807831</v>
      </c>
      <c r="AO52">
        <v>0.97818263599999999</v>
      </c>
      <c r="AP52">
        <v>0.21419202400000001</v>
      </c>
    </row>
    <row r="53" spans="1:42" x14ac:dyDescent="0.2">
      <c r="A53" t="s">
        <v>170</v>
      </c>
      <c r="B53" t="s">
        <v>172</v>
      </c>
      <c r="C53">
        <v>853</v>
      </c>
      <c r="D53">
        <v>71</v>
      </c>
      <c r="E53">
        <v>924</v>
      </c>
      <c r="F53" t="s">
        <v>171</v>
      </c>
      <c r="G53">
        <v>299</v>
      </c>
      <c r="H53">
        <v>28</v>
      </c>
      <c r="I53">
        <v>0</v>
      </c>
      <c r="J53">
        <f t="shared" si="0"/>
        <v>327</v>
      </c>
      <c r="K53">
        <v>6.2970531660000004</v>
      </c>
      <c r="L53">
        <v>21.617175190000001</v>
      </c>
      <c r="M53">
        <v>27.842972580000001</v>
      </c>
      <c r="N53">
        <v>2721</v>
      </c>
      <c r="O53">
        <v>1918</v>
      </c>
      <c r="P53">
        <v>1128174</v>
      </c>
      <c r="Q53">
        <v>120611.0071</v>
      </c>
      <c r="R53">
        <v>4051916.5</v>
      </c>
      <c r="S53">
        <v>0.27842972599999999</v>
      </c>
      <c r="T53">
        <v>5218878</v>
      </c>
      <c r="U53">
        <v>1.418665276</v>
      </c>
      <c r="V53">
        <v>9.7456799999999998E-4</v>
      </c>
      <c r="W53">
        <v>1.4801879090000001</v>
      </c>
      <c r="X53">
        <v>76.539571730000006</v>
      </c>
      <c r="Y53">
        <v>2514.460806</v>
      </c>
      <c r="Z53">
        <v>1627.4543880000001</v>
      </c>
      <c r="AA53">
        <v>0.17034534000000001</v>
      </c>
      <c r="AB53">
        <v>0.13173673999999999</v>
      </c>
      <c r="AC53">
        <v>43.024028209999997</v>
      </c>
      <c r="AD53">
        <v>9.0901794480000007</v>
      </c>
      <c r="AE53">
        <v>107.19948429999999</v>
      </c>
      <c r="AF53">
        <v>38.788219869999999</v>
      </c>
      <c r="AG53">
        <v>104.0281676</v>
      </c>
      <c r="AH53">
        <v>39.001660229999999</v>
      </c>
      <c r="AI53">
        <v>47.967600740000002</v>
      </c>
      <c r="AJ53">
        <v>1.4182210000000001E-3</v>
      </c>
      <c r="AK53">
        <v>237.3747372</v>
      </c>
      <c r="AL53">
        <v>6.3758860559999997</v>
      </c>
      <c r="AM53">
        <v>0.525658615</v>
      </c>
      <c r="AN53">
        <v>0.41878854799999998</v>
      </c>
      <c r="AO53">
        <v>0.96339121699999997</v>
      </c>
      <c r="AP53">
        <v>0.17538472899999999</v>
      </c>
    </row>
    <row r="54" spans="1:42" x14ac:dyDescent="0.2">
      <c r="A54" t="s">
        <v>173</v>
      </c>
      <c r="B54" t="s">
        <v>175</v>
      </c>
      <c r="C54">
        <v>243</v>
      </c>
      <c r="D54">
        <v>1</v>
      </c>
      <c r="E54">
        <v>244</v>
      </c>
      <c r="F54" t="s">
        <v>174</v>
      </c>
      <c r="G54">
        <v>89</v>
      </c>
      <c r="H54">
        <v>0</v>
      </c>
      <c r="I54">
        <v>0</v>
      </c>
      <c r="J54">
        <f t="shared" si="0"/>
        <v>89</v>
      </c>
      <c r="K54">
        <v>1.731517427</v>
      </c>
      <c r="L54">
        <v>13.255386359999999</v>
      </c>
      <c r="M54">
        <v>21.311301409999999</v>
      </c>
      <c r="N54">
        <v>1317</v>
      </c>
      <c r="O54">
        <v>1777</v>
      </c>
      <c r="P54">
        <v>310217</v>
      </c>
      <c r="Q54">
        <v>23635.00879</v>
      </c>
      <c r="R54">
        <v>1455645.5</v>
      </c>
      <c r="S54">
        <v>0.21311301399999999</v>
      </c>
      <c r="T54">
        <v>2340309</v>
      </c>
      <c r="U54">
        <v>0.74113674699999998</v>
      </c>
      <c r="V54">
        <v>6.9785300000000001E-3</v>
      </c>
      <c r="W54">
        <v>1.3735343900000001</v>
      </c>
      <c r="X54">
        <v>84.717277580000001</v>
      </c>
      <c r="Y54">
        <v>1146.177185</v>
      </c>
      <c r="Z54">
        <v>748.9819182</v>
      </c>
      <c r="AA54">
        <v>0.22828206000000001</v>
      </c>
      <c r="AB54">
        <v>0.15015534999999999</v>
      </c>
      <c r="AC54">
        <v>41.740987760000003</v>
      </c>
      <c r="AD54">
        <v>5.9680216140000004</v>
      </c>
      <c r="AE54">
        <v>136.2508857</v>
      </c>
      <c r="AF54">
        <v>40.6524687</v>
      </c>
      <c r="AG54">
        <v>97.576702760000003</v>
      </c>
      <c r="AH54">
        <v>33.919305309999999</v>
      </c>
      <c r="AI54">
        <v>47.584755190000003</v>
      </c>
      <c r="AJ54">
        <v>6.4471000000000005E-4</v>
      </c>
      <c r="AK54">
        <v>148.045492</v>
      </c>
      <c r="AL54">
        <v>4.4162939059999999</v>
      </c>
      <c r="AM54">
        <v>0.64313534299999997</v>
      </c>
      <c r="AN54">
        <v>0.55803289899999997</v>
      </c>
      <c r="AO54">
        <v>0.96867107799999996</v>
      </c>
      <c r="AP54">
        <v>0.31140167899999999</v>
      </c>
    </row>
    <row r="55" spans="1:42" x14ac:dyDescent="0.2">
      <c r="A55" t="s">
        <v>164</v>
      </c>
      <c r="B55" t="s">
        <v>177</v>
      </c>
      <c r="C55">
        <v>579</v>
      </c>
      <c r="D55">
        <v>96</v>
      </c>
      <c r="E55">
        <v>675</v>
      </c>
      <c r="F55" t="s">
        <v>176</v>
      </c>
      <c r="G55">
        <v>231</v>
      </c>
      <c r="H55">
        <v>51</v>
      </c>
      <c r="I55">
        <v>0</v>
      </c>
      <c r="J55">
        <f t="shared" si="0"/>
        <v>282</v>
      </c>
      <c r="K55">
        <v>6.8036086820000001</v>
      </c>
      <c r="L55">
        <v>21.693394959999999</v>
      </c>
      <c r="M55">
        <v>29.872761229999998</v>
      </c>
      <c r="N55">
        <v>2390</v>
      </c>
      <c r="O55">
        <v>2351</v>
      </c>
      <c r="P55">
        <v>1218928</v>
      </c>
      <c r="Q55">
        <v>79445.845379999999</v>
      </c>
      <c r="R55">
        <v>4080399.5</v>
      </c>
      <c r="S55">
        <v>0.29872761199999998</v>
      </c>
      <c r="T55">
        <v>5618890</v>
      </c>
      <c r="U55">
        <v>1.016588686</v>
      </c>
      <c r="V55">
        <v>2.4268649999999998E-3</v>
      </c>
      <c r="W55">
        <v>1.412430726</v>
      </c>
      <c r="X55">
        <v>67.150737590000006</v>
      </c>
      <c r="Y55">
        <v>2049.1461939999999</v>
      </c>
      <c r="Z55">
        <v>1937.1274539999999</v>
      </c>
      <c r="AA55">
        <v>0.16589965000000001</v>
      </c>
      <c r="AB55">
        <v>0.15156041000000001</v>
      </c>
      <c r="AC55">
        <v>45.872863700000003</v>
      </c>
      <c r="AD55">
        <v>8.9015576339999996</v>
      </c>
      <c r="AE55">
        <v>98.788666759999998</v>
      </c>
      <c r="AF55">
        <v>35.830381899999999</v>
      </c>
      <c r="AG55">
        <v>83.213738629999995</v>
      </c>
      <c r="AH55">
        <v>24.88021749</v>
      </c>
      <c r="AI55">
        <v>27.732318889999998</v>
      </c>
      <c r="AJ55">
        <v>2.133022E-3</v>
      </c>
      <c r="AK55">
        <v>181.02375019999999</v>
      </c>
      <c r="AL55">
        <v>4.1240408000000004</v>
      </c>
      <c r="AM55">
        <v>0.61394556600000005</v>
      </c>
      <c r="AN55">
        <v>0.50689325200000002</v>
      </c>
      <c r="AO55">
        <v>0.96425493699999998</v>
      </c>
      <c r="AP55">
        <v>0.25694189099999998</v>
      </c>
    </row>
    <row r="56" spans="1:42" x14ac:dyDescent="0.2">
      <c r="A56" s="1" t="s">
        <v>167</v>
      </c>
      <c r="B56" s="1" t="s">
        <v>179</v>
      </c>
      <c r="C56" s="1">
        <v>232</v>
      </c>
      <c r="D56" s="1">
        <v>52</v>
      </c>
      <c r="E56" s="1">
        <v>284</v>
      </c>
      <c r="F56" s="1" t="s">
        <v>178</v>
      </c>
      <c r="G56">
        <v>103</v>
      </c>
      <c r="H56">
        <v>28</v>
      </c>
      <c r="I56">
        <v>0</v>
      </c>
      <c r="J56">
        <f t="shared" si="0"/>
        <v>131</v>
      </c>
      <c r="K56">
        <v>4.8235857930000003</v>
      </c>
      <c r="L56">
        <v>21.158658169999999</v>
      </c>
      <c r="M56">
        <v>27.323313500000001</v>
      </c>
      <c r="N56">
        <v>2456</v>
      </c>
      <c r="O56">
        <v>1663</v>
      </c>
      <c r="P56">
        <v>864189</v>
      </c>
      <c r="Q56">
        <v>64833.887439999999</v>
      </c>
      <c r="R56">
        <v>3162826.5</v>
      </c>
      <c r="S56">
        <v>0.27323313500000002</v>
      </c>
      <c r="T56">
        <v>4084328</v>
      </c>
      <c r="U56">
        <v>1.4768490679999999</v>
      </c>
      <c r="V56">
        <v>2.583536E-3</v>
      </c>
      <c r="W56">
        <v>1.4182312699999999</v>
      </c>
      <c r="X56">
        <v>80.217569119999993</v>
      </c>
      <c r="Y56">
        <v>2504.2710470000002</v>
      </c>
      <c r="Z56">
        <v>1211.7659980000001</v>
      </c>
      <c r="AA56">
        <v>0.19281559000000001</v>
      </c>
      <c r="AB56">
        <v>0.16776483</v>
      </c>
      <c r="AC56">
        <v>45.015645880000001</v>
      </c>
      <c r="AD56">
        <v>7.9449801630000003</v>
      </c>
      <c r="AE56">
        <v>112.1757278</v>
      </c>
      <c r="AF56">
        <v>32.598683829999999</v>
      </c>
      <c r="AG56">
        <v>77.485224880000004</v>
      </c>
      <c r="AH56">
        <v>22.70205176</v>
      </c>
      <c r="AI56">
        <v>28.007877910000001</v>
      </c>
      <c r="AJ56">
        <v>9.2572300000000004E-4</v>
      </c>
      <c r="AK56">
        <v>82.511632419999998</v>
      </c>
      <c r="AL56">
        <v>3.4628239879999998</v>
      </c>
      <c r="AM56">
        <v>0.59345660700000002</v>
      </c>
      <c r="AN56">
        <v>0.465990762</v>
      </c>
      <c r="AO56">
        <v>0.969958722</v>
      </c>
      <c r="AP56">
        <v>0.21714875</v>
      </c>
    </row>
    <row r="57" spans="1:42" x14ac:dyDescent="0.2">
      <c r="A57" t="s">
        <v>170</v>
      </c>
      <c r="B57" t="s">
        <v>181</v>
      </c>
      <c r="C57">
        <v>866</v>
      </c>
      <c r="D57">
        <v>63</v>
      </c>
      <c r="E57">
        <v>929</v>
      </c>
      <c r="F57" t="s">
        <v>180</v>
      </c>
      <c r="G57">
        <v>353</v>
      </c>
      <c r="H57">
        <v>21</v>
      </c>
      <c r="I57">
        <v>0</v>
      </c>
      <c r="J57">
        <f t="shared" si="0"/>
        <v>374</v>
      </c>
      <c r="K57">
        <v>7.5253640559999999</v>
      </c>
      <c r="L57">
        <v>21.995545870000001</v>
      </c>
      <c r="M57">
        <v>33.08033047</v>
      </c>
      <c r="N57">
        <v>2847</v>
      </c>
      <c r="O57">
        <v>2153</v>
      </c>
      <c r="P57">
        <v>1348237</v>
      </c>
      <c r="Q57">
        <v>113901.3609</v>
      </c>
      <c r="R57">
        <v>4075645.5</v>
      </c>
      <c r="S57">
        <v>0.33080330499999999</v>
      </c>
      <c r="T57">
        <v>6129591</v>
      </c>
      <c r="U57">
        <v>1.32234092</v>
      </c>
      <c r="V57">
        <v>1.3059250000000001E-3</v>
      </c>
      <c r="W57">
        <v>1.4533894919999999</v>
      </c>
      <c r="X57">
        <v>100.4198203</v>
      </c>
      <c r="Y57">
        <v>2563.86537</v>
      </c>
      <c r="Z57">
        <v>1561.2232120000001</v>
      </c>
      <c r="AA57">
        <v>0.17989896</v>
      </c>
      <c r="AB57">
        <v>69.1357</v>
      </c>
      <c r="AC57">
        <v>45.064076270000001</v>
      </c>
      <c r="AD57">
        <v>9.2003259740000001</v>
      </c>
      <c r="AE57">
        <v>106.9979759</v>
      </c>
      <c r="AF57">
        <v>39.564025979999997</v>
      </c>
      <c r="AG57">
        <v>100.3545749</v>
      </c>
      <c r="AH57">
        <v>37.469146899999998</v>
      </c>
      <c r="AI57">
        <v>33.407553720000003</v>
      </c>
      <c r="AJ57">
        <v>4.8952819999999999E-3</v>
      </c>
      <c r="AK57">
        <v>216.2697316</v>
      </c>
      <c r="AL57">
        <v>5.6103211049999997</v>
      </c>
      <c r="AM57">
        <v>0.57799105399999995</v>
      </c>
      <c r="AN57">
        <v>0.47687732500000002</v>
      </c>
      <c r="AO57">
        <v>0.96223594000000001</v>
      </c>
      <c r="AP57">
        <v>0.22741298099999999</v>
      </c>
    </row>
    <row r="58" spans="1:42" x14ac:dyDescent="0.2">
      <c r="A58" t="s">
        <v>182</v>
      </c>
      <c r="B58" t="s">
        <v>184</v>
      </c>
      <c r="C58">
        <v>137</v>
      </c>
      <c r="D58">
        <v>29</v>
      </c>
      <c r="E58">
        <v>166</v>
      </c>
      <c r="F58" t="s">
        <v>183</v>
      </c>
      <c r="G58">
        <v>21</v>
      </c>
      <c r="H58">
        <v>9</v>
      </c>
      <c r="I58">
        <v>0</v>
      </c>
      <c r="J58">
        <f t="shared" si="0"/>
        <v>30</v>
      </c>
      <c r="K58">
        <v>4.8046249860000003</v>
      </c>
      <c r="L58">
        <v>34.861240199999997</v>
      </c>
      <c r="M58">
        <v>47.455696619999998</v>
      </c>
      <c r="N58">
        <v>1665</v>
      </c>
      <c r="O58">
        <v>1483</v>
      </c>
      <c r="P58">
        <v>860792</v>
      </c>
      <c r="Q58">
        <v>41650.257819999999</v>
      </c>
      <c r="R58">
        <v>1813885.5</v>
      </c>
      <c r="S58">
        <v>0.47455696600000002</v>
      </c>
      <c r="T58">
        <v>2469195</v>
      </c>
      <c r="U58">
        <v>1.1227242079999999</v>
      </c>
      <c r="V58">
        <v>6.2355199999999996E-3</v>
      </c>
      <c r="W58">
        <v>1.3538758550000001</v>
      </c>
      <c r="X58">
        <v>48.238339689999997</v>
      </c>
      <c r="Y58">
        <v>1691.764617</v>
      </c>
      <c r="Z58">
        <v>1129.4620729999999</v>
      </c>
      <c r="AA58">
        <v>0.17935377</v>
      </c>
      <c r="AB58">
        <v>0.16490927</v>
      </c>
      <c r="AC58">
        <v>46.212151140000003</v>
      </c>
      <c r="AD58">
        <v>8.0768261070000005</v>
      </c>
      <c r="AE58">
        <v>103.7827303</v>
      </c>
      <c r="AF58">
        <v>36.90873259</v>
      </c>
      <c r="AG58">
        <v>83.80912927</v>
      </c>
      <c r="AH58">
        <v>20.96380344</v>
      </c>
      <c r="AI58">
        <v>25.247678879999999</v>
      </c>
      <c r="AJ58">
        <v>1.742581E-3</v>
      </c>
      <c r="AK58">
        <v>66.70158198</v>
      </c>
      <c r="AL58">
        <v>3.1205224149999999</v>
      </c>
      <c r="AM58">
        <v>0.55242638700000002</v>
      </c>
      <c r="AN58">
        <v>0.38620881299999998</v>
      </c>
      <c r="AO58">
        <v>0.97749965900000002</v>
      </c>
      <c r="AP58">
        <v>0.14915879000000001</v>
      </c>
    </row>
    <row r="59" spans="1:42" x14ac:dyDescent="0.2">
      <c r="A59" t="s">
        <v>182</v>
      </c>
      <c r="B59" t="s">
        <v>186</v>
      </c>
      <c r="C59">
        <v>109</v>
      </c>
      <c r="D59">
        <v>8</v>
      </c>
      <c r="E59">
        <v>117</v>
      </c>
      <c r="F59" t="s">
        <v>185</v>
      </c>
      <c r="G59">
        <v>41</v>
      </c>
      <c r="H59">
        <v>4</v>
      </c>
      <c r="I59">
        <v>0</v>
      </c>
      <c r="J59">
        <f t="shared" si="0"/>
        <v>45</v>
      </c>
      <c r="K59">
        <v>6.5071960640000004</v>
      </c>
      <c r="L59">
        <v>27.774983710000001</v>
      </c>
      <c r="M59">
        <v>39.381461790000003</v>
      </c>
      <c r="N59">
        <v>1955</v>
      </c>
      <c r="O59">
        <v>2147</v>
      </c>
      <c r="P59">
        <v>1165823</v>
      </c>
      <c r="Q59">
        <v>53502.617109999999</v>
      </c>
      <c r="R59">
        <v>2960334.5</v>
      </c>
      <c r="S59">
        <v>0.39381461800000001</v>
      </c>
      <c r="T59">
        <v>4197385</v>
      </c>
      <c r="U59">
        <v>0.91057289200000002</v>
      </c>
      <c r="V59">
        <v>5.1179069999999997E-3</v>
      </c>
      <c r="W59">
        <v>1.360331272</v>
      </c>
      <c r="X59">
        <v>52.912811009999999</v>
      </c>
      <c r="Y59">
        <v>2183.5632569999998</v>
      </c>
      <c r="Z59">
        <v>1332.6392739999999</v>
      </c>
      <c r="AA59">
        <v>0.16868586999999999</v>
      </c>
      <c r="AB59">
        <v>0.16663232</v>
      </c>
      <c r="AC59">
        <v>47.641010690000002</v>
      </c>
      <c r="AD59">
        <v>9.0078197610000004</v>
      </c>
      <c r="AE59">
        <v>97.022069389999999</v>
      </c>
      <c r="AF59">
        <v>37.217448859999998</v>
      </c>
      <c r="AG59">
        <v>82.65098218</v>
      </c>
      <c r="AH59">
        <v>21.9223818</v>
      </c>
      <c r="AI59">
        <v>21.906241340000001</v>
      </c>
      <c r="AJ59">
        <v>6.0043399999999995E-4</v>
      </c>
      <c r="AK59">
        <v>96.698859659999997</v>
      </c>
      <c r="AL59">
        <v>3.156438471</v>
      </c>
      <c r="AM59">
        <v>0.60668451700000003</v>
      </c>
      <c r="AN59">
        <v>0.46443156600000002</v>
      </c>
      <c r="AO59">
        <v>0.97602333399999996</v>
      </c>
      <c r="AP59">
        <v>0.21569759499999999</v>
      </c>
    </row>
    <row r="60" spans="1:42" x14ac:dyDescent="0.2">
      <c r="A60" s="1" t="s">
        <v>187</v>
      </c>
      <c r="B60" s="1" t="s">
        <v>189</v>
      </c>
      <c r="C60" s="1">
        <v>673</v>
      </c>
      <c r="D60" s="1">
        <v>67</v>
      </c>
      <c r="E60" s="1">
        <v>740</v>
      </c>
      <c r="F60" s="1" t="s">
        <v>188</v>
      </c>
      <c r="G60">
        <v>312</v>
      </c>
      <c r="H60">
        <v>0</v>
      </c>
      <c r="I60">
        <v>0</v>
      </c>
      <c r="J60">
        <f t="shared" si="0"/>
        <v>312</v>
      </c>
      <c r="K60">
        <v>2.7362281020000001</v>
      </c>
      <c r="L60">
        <v>32.692754000000001</v>
      </c>
      <c r="M60">
        <v>40.100664760000001</v>
      </c>
      <c r="N60">
        <v>1286</v>
      </c>
      <c r="O60">
        <v>1166</v>
      </c>
      <c r="P60">
        <v>490220</v>
      </c>
      <c r="Q60">
        <v>46600.317900000002</v>
      </c>
      <c r="R60">
        <v>1222473.5</v>
      </c>
      <c r="S60">
        <v>0.40100664800000002</v>
      </c>
      <c r="T60">
        <v>1499476</v>
      </c>
      <c r="U60">
        <v>1.102915952</v>
      </c>
      <c r="V60">
        <v>2.8367639999999999E-3</v>
      </c>
      <c r="W60">
        <v>1.429191375</v>
      </c>
      <c r="X60">
        <v>110.5464044</v>
      </c>
      <c r="Y60">
        <v>1387.375012</v>
      </c>
      <c r="Z60">
        <v>1171.4329600000001</v>
      </c>
      <c r="AA60">
        <v>0.18889006999999999</v>
      </c>
      <c r="AB60">
        <v>0.13541375</v>
      </c>
      <c r="AC60">
        <v>42.710391250000001</v>
      </c>
      <c r="AD60">
        <v>7.7583762949999997</v>
      </c>
      <c r="AE60">
        <v>116.169579</v>
      </c>
      <c r="AF60">
        <v>41.290574429999999</v>
      </c>
      <c r="AG60">
        <v>84.434333559999999</v>
      </c>
      <c r="AH60">
        <v>23.19341979</v>
      </c>
      <c r="AI60">
        <v>45.187262859999997</v>
      </c>
      <c r="AJ60">
        <v>1.0199499999999999E-3</v>
      </c>
      <c r="AK60">
        <v>94.617598229999999</v>
      </c>
      <c r="AL60">
        <v>4.9146985990000003</v>
      </c>
      <c r="AM60">
        <v>0.40826522300000001</v>
      </c>
      <c r="AN60">
        <v>0.248375445</v>
      </c>
      <c r="AO60">
        <v>0.96736139799999998</v>
      </c>
      <c r="AP60">
        <v>6.1692429E-2</v>
      </c>
    </row>
    <row r="61" spans="1:42" x14ac:dyDescent="0.2">
      <c r="A61" s="1" t="s">
        <v>187</v>
      </c>
      <c r="B61" s="1" t="s">
        <v>191</v>
      </c>
      <c r="C61" s="1">
        <v>673</v>
      </c>
      <c r="D61" s="1">
        <v>53</v>
      </c>
      <c r="E61" s="1">
        <v>726</v>
      </c>
      <c r="F61" s="1" t="s">
        <v>190</v>
      </c>
      <c r="G61">
        <v>259</v>
      </c>
      <c r="H61">
        <v>0</v>
      </c>
      <c r="I61">
        <v>0</v>
      </c>
      <c r="J61">
        <f t="shared" si="0"/>
        <v>259</v>
      </c>
      <c r="K61">
        <v>3.2220534340000002</v>
      </c>
      <c r="L61">
        <v>27.193790740000001</v>
      </c>
      <c r="M61">
        <v>38.524502089999999</v>
      </c>
      <c r="N61">
        <v>1554</v>
      </c>
      <c r="O61">
        <v>1366</v>
      </c>
      <c r="P61">
        <v>577260</v>
      </c>
      <c r="Q61">
        <v>39303.950920000003</v>
      </c>
      <c r="R61">
        <v>1498423</v>
      </c>
      <c r="S61">
        <v>0.38524502100000002</v>
      </c>
      <c r="T61">
        <v>2122764</v>
      </c>
      <c r="U61">
        <v>1.1376281109999999</v>
      </c>
      <c r="V61">
        <v>4.6957930000000002E-3</v>
      </c>
      <c r="W61">
        <v>1.3859117540000001</v>
      </c>
      <c r="X61">
        <v>77.178494169999993</v>
      </c>
      <c r="Y61">
        <v>1435.6161520000001</v>
      </c>
      <c r="Z61">
        <v>1189.295464</v>
      </c>
      <c r="AA61">
        <v>0.18969822</v>
      </c>
      <c r="AB61">
        <v>0.13188964</v>
      </c>
      <c r="AC61">
        <v>42.229265839999997</v>
      </c>
      <c r="AD61">
        <v>7.1770007629999997</v>
      </c>
      <c r="AE61">
        <v>117.74376359999999</v>
      </c>
      <c r="AF61">
        <v>40.068885260000002</v>
      </c>
      <c r="AG61">
        <v>90.747618059999994</v>
      </c>
      <c r="AH61">
        <v>23.393073350000002</v>
      </c>
      <c r="AI61">
        <v>49.074074070000002</v>
      </c>
      <c r="AJ61">
        <v>3.46464E-4</v>
      </c>
      <c r="AK61">
        <v>72.261270120000006</v>
      </c>
      <c r="AL61">
        <v>3.691964188</v>
      </c>
      <c r="AM61">
        <v>0.54223111099999999</v>
      </c>
      <c r="AN61">
        <v>0.41399291799999999</v>
      </c>
      <c r="AO61">
        <v>0.97919643899999997</v>
      </c>
      <c r="AP61">
        <v>0.17139164600000001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Adunola, Paul M.</dc:creator>
  <cp:lastModifiedBy>Adunola, Paul M.</cp:lastModifiedBy>
  <dcterms:created xsi:type="dcterms:W3CDTF">2026-07-24T20:03:04Z</dcterms:created>
  <dcterms:modified xsi:type="dcterms:W3CDTF">2026-07-27T13:52:17Z</dcterms:modified>
</cp:coreProperties>
</file>